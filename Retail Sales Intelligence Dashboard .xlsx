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Clean_Data" sheetId="2" r:id="rId6"/>
    <sheet state="visible" name="Analysis" sheetId="3" r:id="rId7"/>
    <sheet state="visible" name="Charts" sheetId="4" r:id="rId8"/>
  </sheets>
  <definedNames/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<sst xmlns="http://schemas.openxmlformats.org/spreadsheetml/2006/main" count="2058" uniqueCount="81">
  <si>
    <t>Order_ID</t>
  </si>
  <si>
    <t>Date</t>
  </si>
  <si>
    <t>Region</t>
  </si>
  <si>
    <t>City</t>
  </si>
  <si>
    <t>Category</t>
  </si>
  <si>
    <t>Product</t>
  </si>
  <si>
    <t>Customer_Type</t>
  </si>
  <si>
    <t>Sales</t>
  </si>
  <si>
    <t>Quantity</t>
  </si>
  <si>
    <t>Discount</t>
  </si>
  <si>
    <t>Profit</t>
  </si>
  <si>
    <t>West</t>
  </si>
  <si>
    <t>Mumbai</t>
  </si>
  <si>
    <t>Electronics</t>
  </si>
  <si>
    <t>Mobile</t>
  </si>
  <si>
    <t>Consumer</t>
  </si>
  <si>
    <t>North</t>
  </si>
  <si>
    <t>Delhi</t>
  </si>
  <si>
    <t>Furniture</t>
  </si>
  <si>
    <t>Chair</t>
  </si>
  <si>
    <t>Corporate</t>
  </si>
  <si>
    <t>South</t>
  </si>
  <si>
    <t>Bangalore</t>
  </si>
  <si>
    <t>Clothing</t>
  </si>
  <si>
    <t>T-Shirt</t>
  </si>
  <si>
    <t>East</t>
  </si>
  <si>
    <t>Kolkata</t>
  </si>
  <si>
    <t>Laptop</t>
  </si>
  <si>
    <t>Home Office</t>
  </si>
  <si>
    <t>Pune</t>
  </si>
  <si>
    <t>Table</t>
  </si>
  <si>
    <t>Jaipur</t>
  </si>
  <si>
    <t>Jeans</t>
  </si>
  <si>
    <t>Chennai</t>
  </si>
  <si>
    <t>Tablet</t>
  </si>
  <si>
    <t>Patna</t>
  </si>
  <si>
    <t>Sofa</t>
  </si>
  <si>
    <t>Jacket</t>
  </si>
  <si>
    <t>Headphones</t>
  </si>
  <si>
    <t>Shirt</t>
  </si>
  <si>
    <t>Hyderabad</t>
  </si>
  <si>
    <t>Ahmedabad</t>
  </si>
  <si>
    <t>Nagpur</t>
  </si>
  <si>
    <t>Smartwatch</t>
  </si>
  <si>
    <t>Chandigarh</t>
  </si>
  <si>
    <t>Bed</t>
  </si>
  <si>
    <t>Hoodie</t>
  </si>
  <si>
    <t>Bhubaneswar</t>
  </si>
  <si>
    <t>Camera</t>
  </si>
  <si>
    <t>Almirah</t>
  </si>
  <si>
    <t>Tracksuit</t>
  </si>
  <si>
    <t>Speaker</t>
  </si>
  <si>
    <t>Desk</t>
  </si>
  <si>
    <t>Guwahati</t>
  </si>
  <si>
    <t>Surat</t>
  </si>
  <si>
    <t>Lucknow</t>
  </si>
  <si>
    <t>Ranchi</t>
  </si>
  <si>
    <t>Profit_Margin</t>
  </si>
  <si>
    <t>Status</t>
  </si>
  <si>
    <t xml:space="preserve">                                                                   </t>
  </si>
  <si>
    <t xml:space="preserve"> Monthly Revenue Performance</t>
  </si>
  <si>
    <t xml:space="preserve">   Regional Sales Contribution</t>
  </si>
  <si>
    <t xml:space="preserve">  Profit Margin By Product Category</t>
  </si>
  <si>
    <t xml:space="preserve"> Month</t>
  </si>
  <si>
    <t>Total Sales</t>
  </si>
  <si>
    <t xml:space="preserve">Sales </t>
  </si>
  <si>
    <t>Average Margin %</t>
  </si>
  <si>
    <t>Jan</t>
  </si>
  <si>
    <t>Feb</t>
  </si>
  <si>
    <t>Mar</t>
  </si>
  <si>
    <t>Grand Total</t>
  </si>
  <si>
    <t>₹2,831,548.00</t>
  </si>
  <si>
    <t>21.58%</t>
  </si>
  <si>
    <t xml:space="preserve">                                                                                                                       Q1 SALES PERFORMANCE DASHBOARD</t>
  </si>
  <si>
    <t>TOTAL REVENUE ($)</t>
  </si>
  <si>
    <t xml:space="preserve">                                       MoM                                      </t>
  </si>
  <si>
    <t xml:space="preserve">         TOP REGION                        </t>
  </si>
  <si>
    <t xml:space="preserve">     BEST CATEGORY</t>
  </si>
  <si>
    <r>
      <rPr>
        <rFont val="Roboto"/>
        <b/>
        <color rgb="FF000000"/>
        <sz val="11.0"/>
      </rPr>
      <t>Analyst Note:</t>
    </r>
    <r>
      <rPr>
        <rFont val="Roboto"/>
        <color rgb="FF000000"/>
        <sz val="11.0"/>
      </rPr>
      <t xml:space="preserve"> 
</t>
    </r>
    <r>
      <rPr>
        <rFont val="Roboto"/>
        <b/>
        <color rgb="FF000000"/>
        <sz val="11.0"/>
      </rPr>
      <t>Performance</t>
    </r>
    <r>
      <rPr>
        <rFont val="Roboto"/>
        <color rgb="FF000000"/>
        <sz val="11.0"/>
      </rPr>
      <t xml:space="preserve">: Total Q1 revenue reached ₹2,831,548.00, peaking in January at ₹1,063,744.00, followed by a notable 14.2% recovery in March.
</t>
    </r>
    <r>
      <rPr>
        <rFont val="Roboto"/>
        <b/>
        <color rgb="FF000000"/>
        <sz val="11.0"/>
      </rPr>
      <t>Key Takeaway</t>
    </r>
    <r>
      <rPr>
        <rFont val="Roboto"/>
        <color rgb="FF000000"/>
        <sz val="11.0"/>
      </rPr>
      <t xml:space="preserve">: The significant rebound in March suggests that the February dip was a temporary seasonal fluctuation rather than a shift in long-term demand.
</t>
    </r>
    <r>
      <rPr>
        <rFont val="Roboto"/>
        <b/>
        <color rgb="FF000000"/>
        <sz val="11.0"/>
      </rPr>
      <t>Action</t>
    </r>
    <r>
      <rPr>
        <rFont val="Roboto"/>
        <color rgb="FF000000"/>
        <sz val="11.0"/>
      </rPr>
      <t>: Analyze inventory and marketing spend from February to identify if stockouts or reduced outreach contributed to the mid-quarter dip.</t>
    </r>
  </si>
  <si>
    <r>
      <rPr>
        <rFont val="Roboto"/>
        <b/>
        <color rgb="FF000000"/>
        <sz val="11.0"/>
      </rPr>
      <t xml:space="preserve">Analyst Note:
</t>
    </r>
    <r>
      <rPr>
        <rFont val="Roboto"/>
        <color rgb="FF000000"/>
        <sz val="11.0"/>
      </rPr>
      <t xml:space="preserve">
</t>
    </r>
    <r>
      <rPr>
        <rFont val="Roboto"/>
        <b/>
        <color rgb="FF000000"/>
        <sz val="11.0"/>
      </rPr>
      <t>Performance</t>
    </r>
    <r>
      <rPr>
        <rFont val="Roboto"/>
        <color rgb="FF000000"/>
        <sz val="11.0"/>
      </rPr>
      <t xml:space="preserve">: The East region is the primary driver of revenue, contributing ₹879,610.00, while the North region currently lags at ₹554,293.00.
</t>
    </r>
    <r>
      <rPr>
        <rFont val="Roboto"/>
        <b/>
        <color rgb="FF000000"/>
        <sz val="11.0"/>
      </rPr>
      <t xml:space="preserve">
Key Takeaway:</t>
    </r>
    <r>
      <rPr>
        <rFont val="Roboto"/>
        <color rgb="FF000000"/>
        <sz val="11.0"/>
      </rPr>
      <t xml:space="preserve"> There is a ~37% performance gap between the East and North regions, indicating significant untapped potential in the Northern market.
</t>
    </r>
    <r>
      <rPr>
        <rFont val="Roboto"/>
        <b/>
        <color rgb="FF000000"/>
        <sz val="11.0"/>
      </rPr>
      <t>Action</t>
    </r>
    <r>
      <rPr>
        <rFont val="Roboto"/>
        <color rgb="FF000000"/>
        <sz val="11.0"/>
      </rPr>
      <t>: Reallocate a portion of the Q2 marketing budget to the North region to improve brand penetration and bridge the regional sales gap.</t>
    </r>
  </si>
  <si>
    <r>
      <rPr>
        <rFont val="Roboto"/>
        <b/>
        <color rgb="FF000000"/>
        <sz val="11.0"/>
      </rPr>
      <t>Analyst Note</t>
    </r>
    <r>
      <rPr>
        <rFont val="Roboto"/>
        <color rgb="FF000000"/>
        <sz val="11.0"/>
      </rPr>
      <t xml:space="preserve">:
</t>
    </r>
    <r>
      <rPr>
        <rFont val="Roboto"/>
        <b/>
        <color rgb="FF000000"/>
        <sz val="11.0"/>
      </rPr>
      <t>Performance</t>
    </r>
    <r>
      <rPr>
        <rFont val="Roboto"/>
        <color rgb="FF000000"/>
        <sz val="11.0"/>
      </rPr>
      <t xml:space="preserve">: Electronics leads all categories with a high average profit margin of 26.35%, whereas Clothing currently sits at the lowest point of 18.00%.
</t>
    </r>
    <r>
      <rPr>
        <rFont val="Roboto"/>
        <b/>
        <color rgb="FF000000"/>
        <sz val="11.0"/>
      </rPr>
      <t>Key Takeaway:</t>
    </r>
    <r>
      <rPr>
        <rFont val="Roboto"/>
        <color rgb="FF000000"/>
        <sz val="11.0"/>
      </rPr>
      <t xml:space="preserve"> While the business maintains a healthy overall average margin of 21.58%, the lower margin in Clothing is slightly suppressing total profitability.
</t>
    </r>
    <r>
      <rPr>
        <rFont val="Roboto"/>
        <b/>
        <color rgb="FF000000"/>
        <sz val="11.0"/>
      </rPr>
      <t>Action</t>
    </r>
    <r>
      <rPr>
        <rFont val="Roboto"/>
        <color rgb="FF000000"/>
        <sz val="11.0"/>
      </rPr>
      <t>: Review supplier contracts for Clothing and consider implementing "bundle" deals to increase the average order value and margin for that category.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</si>
</sst>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d/MM/yyyy"/>
    <numFmt numFmtId="166" formatCode="[$₹]#,##0.00"/>
    <numFmt numFmtId="167" formatCode="m/d/yyyy h:mm:ss"/>
  </numFmts>
  <fonts count="25">
    <font>
      <sz val="10.0"/>
      <color rgb="FF000000"/>
      <name val="Arial"/>
      <scheme val="minor"/>
    </font>
    <font>
      <color theme="1"/>
      <name val="Arial"/>
      <scheme val="minor"/>
    </font>
    <font>
      <b/>
      <sz val="36.0"/>
      <color theme="1"/>
      <name val="Arial"/>
      <scheme val="minor"/>
    </font>
    <font>
      <b/>
      <color theme="1"/>
      <name val="Arial"/>
      <scheme val="minor"/>
    </font>
    <font>
      <sz val="9.0"/>
      <color theme="1"/>
      <name val="Roboto"/>
    </font>
    <font>
      <b/>
      <color rgb="FFFFFFFF"/>
      <name val="Arial"/>
      <scheme val="minor"/>
    </font>
    <font>
      <b/>
      <sz val="15.0"/>
      <color rgb="FF000000"/>
      <name val="Arial"/>
      <scheme val="minor"/>
    </font>
    <font>
      <sz val="15.0"/>
      <color rgb="FFFFFFFF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color rgb="FFFFFFFF"/>
      <name val="Arial"/>
      <scheme val="minor"/>
    </font>
    <font>
      <b/>
      <sz val="15.0"/>
      <color rgb="FFFFFFFF"/>
      <name val="Roboto"/>
    </font>
    <font>
      <sz val="15.0"/>
      <color theme="1"/>
      <name val="Roboto"/>
    </font>
    <font>
      <sz val="9.0"/>
      <color rgb="FF000000"/>
      <name val="Roboto"/>
    </font>
    <font>
      <b/>
      <sz val="14.0"/>
      <color theme="1"/>
      <name val="Arial"/>
      <scheme val="minor"/>
    </font>
    <font>
      <b/>
      <sz val="18.0"/>
      <color rgb="FFFFFFFF"/>
      <name val="Roboto"/>
    </font>
    <font>
      <b/>
      <sz val="20.0"/>
      <color theme="1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b/>
      <sz val="13.0"/>
      <color rgb="FF94A3B8"/>
      <name val="Arial"/>
      <scheme val="minor"/>
    </font>
    <font>
      <b/>
      <sz val="18.0"/>
      <color rgb="FF4B5563"/>
      <name val="Arial"/>
      <scheme val="minor"/>
    </font>
    <font>
      <b/>
      <sz val="18.0"/>
      <color rgb="FF6AA84F"/>
      <name val="Arial"/>
      <scheme val="minor"/>
    </font>
    <font>
      <sz val="11.0"/>
      <color rgb="FF000000"/>
      <name val="Roboto"/>
    </font>
    <font/>
    <font>
      <sz val="10.0"/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ABDDC5"/>
        <bgColor rgb="FFABDDC5"/>
      </patternFill>
    </fill>
    <fill>
      <patternFill patternType="solid">
        <fgColor rgb="FFFFFFFF"/>
        <bgColor rgb="FFFFFFFF"/>
      </patternFill>
    </fill>
    <fill>
      <patternFill patternType="solid">
        <fgColor rgb="FF0F3D3E"/>
        <bgColor rgb="FF0F3D3E"/>
      </patternFill>
    </fill>
    <fill>
      <patternFill patternType="solid">
        <fgColor rgb="FFF5F6FA"/>
        <bgColor rgb="FFF5F6FA"/>
      </patternFill>
    </fill>
    <fill>
      <patternFill patternType="solid">
        <fgColor rgb="FFEAEAEA"/>
        <bgColor rgb="FFEAEAEA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999999"/>
      </left>
      <top style="thin">
        <color rgb="FF999999"/>
      </top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0" fillId="0" fontId="1" numFmtId="0" xfId="0" applyFont="1"/>
    <xf borderId="0" fillId="0" fontId="1" numFmtId="165" xfId="0" applyFont="1" applyNumberFormat="1"/>
    <xf borderId="0" fillId="0" fontId="1" numFmtId="166" xfId="0" applyFont="1" applyNumberFormat="1"/>
    <xf borderId="0" fillId="0" fontId="1" numFmtId="3" xfId="0" applyFont="1" applyNumberFormat="1"/>
    <xf borderId="0" fillId="0" fontId="1" numFmtId="10" xfId="0" applyFont="1" applyNumberFormat="1"/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readingOrder="0"/>
    </xf>
    <xf borderId="0" fillId="0" fontId="1" numFmtId="4" xfId="0" applyFont="1" applyNumberFormat="1"/>
    <xf borderId="0" fillId="0" fontId="1" numFmtId="0" xfId="0" applyAlignment="1" applyFont="1">
      <alignment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4" xfId="0" applyFont="1" applyNumberFormat="1"/>
    <xf borderId="0" fillId="0" fontId="8" numFmtId="0" xfId="0" applyAlignment="1" applyFont="1">
      <alignment readingOrder="0"/>
    </xf>
    <xf borderId="0" fillId="0" fontId="9" numFmtId="4" xfId="0" applyFont="1" applyNumberFormat="1"/>
    <xf borderId="2" fillId="0" fontId="10" numFmtId="0" xfId="0" applyAlignment="1" applyBorder="1" applyFont="1">
      <alignment readingOrder="0"/>
    </xf>
    <xf borderId="3" fillId="2" fontId="11" numFmtId="0" xfId="0" applyAlignment="1" applyBorder="1" applyFill="1" applyFont="1">
      <alignment horizontal="center" readingOrder="0" vertical="center"/>
    </xf>
    <xf borderId="4" fillId="2" fontId="11" numFmtId="4" xfId="0" applyAlignment="1" applyBorder="1" applyFont="1" applyNumberFormat="1">
      <alignment horizontal="center" vertical="center"/>
    </xf>
    <xf borderId="5" fillId="2" fontId="11" numFmtId="0" xfId="0" applyAlignment="1" applyBorder="1" applyFont="1">
      <alignment horizontal="center" readingOrder="0" vertical="center"/>
    </xf>
    <xf borderId="5" fillId="2" fontId="11" numFmtId="4" xfId="0" applyAlignment="1" applyBorder="1" applyFont="1" applyNumberFormat="1">
      <alignment horizontal="center" vertical="center"/>
    </xf>
    <xf borderId="5" fillId="2" fontId="11" numFmtId="10" xfId="0" applyAlignment="1" applyBorder="1" applyFont="1" applyNumberFormat="1">
      <alignment horizontal="center" vertical="center"/>
    </xf>
    <xf borderId="2" fillId="0" fontId="1" numFmtId="0" xfId="0" applyBorder="1" applyFont="1"/>
    <xf borderId="3" fillId="2" fontId="12" numFmtId="167" xfId="0" applyAlignment="1" applyBorder="1" applyFont="1" applyNumberFormat="1">
      <alignment horizontal="center" vertical="center"/>
    </xf>
    <xf borderId="4" fillId="2" fontId="12" numFmtId="166" xfId="0" applyAlignment="1" applyBorder="1" applyFont="1" applyNumberFormat="1">
      <alignment horizontal="center" vertical="center"/>
    </xf>
    <xf borderId="5" fillId="2" fontId="12" numFmtId="167" xfId="0" applyAlignment="1" applyBorder="1" applyFont="1" applyNumberFormat="1">
      <alignment horizontal="center" vertical="center"/>
    </xf>
    <xf borderId="5" fillId="2" fontId="12" numFmtId="166" xfId="0" applyAlignment="1" applyBorder="1" applyFont="1" applyNumberFormat="1">
      <alignment horizontal="center" vertical="center"/>
    </xf>
    <xf borderId="5" fillId="2" fontId="12" numFmtId="10" xfId="0" applyAlignment="1" applyBorder="1" applyFont="1" applyNumberFormat="1">
      <alignment horizontal="center" vertical="center"/>
    </xf>
    <xf borderId="5" fillId="2" fontId="12" numFmtId="0" xfId="0" applyAlignment="1" applyBorder="1" applyFont="1">
      <alignment horizontal="center" vertical="center"/>
    </xf>
    <xf borderId="5" fillId="2" fontId="12" numFmtId="166" xfId="0" applyAlignment="1" applyBorder="1" applyFont="1" applyNumberFormat="1">
      <alignment horizontal="center" vertical="center"/>
    </xf>
    <xf borderId="0" fillId="3" fontId="1" numFmtId="0" xfId="0" applyFill="1" applyFont="1"/>
    <xf borderId="0" fillId="3" fontId="1" numFmtId="4" xfId="0" applyFont="1" applyNumberFormat="1"/>
    <xf borderId="0" fillId="3" fontId="13" numFmtId="4" xfId="0" applyAlignment="1" applyFont="1" applyNumberFormat="1">
      <alignment horizontal="left" readingOrder="0" shrinkToFit="0" textRotation="0" vertical="top" wrapText="1"/>
    </xf>
    <xf borderId="0" fillId="0" fontId="1" numFmtId="167" xfId="0" applyFont="1" applyNumberFormat="1"/>
    <xf borderId="0" fillId="0" fontId="1" numFmtId="0" xfId="0" applyAlignment="1" applyFont="1">
      <alignment vertical="top"/>
    </xf>
    <xf borderId="0" fillId="0" fontId="14" numFmtId="0" xfId="0" applyFont="1"/>
    <xf borderId="0" fillId="0" fontId="14" numFmtId="0" xfId="0" applyAlignment="1" applyFont="1">
      <alignment readingOrder="0"/>
    </xf>
    <xf borderId="0" fillId="4" fontId="15" numFmtId="0" xfId="0" applyAlignment="1" applyFill="1" applyFont="1">
      <alignment horizontal="left" readingOrder="0" vertical="center"/>
    </xf>
    <xf borderId="0" fillId="5" fontId="16" numFmtId="0" xfId="0" applyAlignment="1" applyFill="1" applyFont="1">
      <alignment horizontal="center" readingOrder="0"/>
    </xf>
    <xf borderId="0" fillId="5" fontId="17" numFmtId="0" xfId="0" applyAlignment="1" applyFont="1">
      <alignment horizontal="center" readingOrder="0"/>
    </xf>
    <xf borderId="0" fillId="5" fontId="18" numFmtId="0" xfId="0" applyAlignment="1" applyFont="1">
      <alignment horizontal="center" readingOrder="0"/>
    </xf>
    <xf borderId="0" fillId="3" fontId="19" numFmtId="0" xfId="0" applyAlignment="1" applyFont="1">
      <alignment horizontal="center" readingOrder="0"/>
    </xf>
    <xf borderId="0" fillId="3" fontId="19" numFmtId="0" xfId="0" applyAlignment="1" applyFont="1">
      <alignment horizontal="left" readingOrder="0" vertical="center"/>
    </xf>
    <xf borderId="0" fillId="5" fontId="1" numFmtId="0" xfId="0" applyAlignment="1" applyFont="1">
      <alignment horizontal="center"/>
    </xf>
    <xf borderId="0" fillId="3" fontId="20" numFmtId="166" xfId="0" applyAlignment="1" applyFont="1" applyNumberFormat="1">
      <alignment horizontal="center"/>
    </xf>
    <xf borderId="0" fillId="3" fontId="21" numFmtId="0" xfId="0" applyAlignment="1" applyFont="1">
      <alignment horizontal="center" shrinkToFit="0" vertical="center" wrapText="1"/>
    </xf>
    <xf borderId="0" fillId="3" fontId="20" numFmtId="167" xfId="0" applyAlignment="1" applyFont="1" applyNumberFormat="1">
      <alignment horizontal="center" readingOrder="0" shrinkToFit="0" vertical="center" wrapText="1"/>
    </xf>
    <xf borderId="0" fillId="3" fontId="20" numFmtId="4" xfId="0" applyAlignment="1" applyFont="1" applyNumberFormat="1">
      <alignment horizontal="center" vertical="center"/>
    </xf>
    <xf borderId="0" fillId="6" fontId="16" numFmtId="0" xfId="0" applyAlignment="1" applyFill="1" applyFont="1">
      <alignment horizontal="center" readingOrder="0"/>
    </xf>
    <xf borderId="0" fillId="5" fontId="1" numFmtId="0" xfId="0" applyFont="1"/>
    <xf borderId="0" fillId="3" fontId="1" numFmtId="0" xfId="0" applyAlignment="1" applyFont="1">
      <alignment horizontal="center"/>
    </xf>
    <xf borderId="0" fillId="3" fontId="17" numFmtId="0" xfId="0" applyAlignment="1" applyFont="1">
      <alignment horizontal="center" readingOrder="0"/>
    </xf>
    <xf borderId="1" fillId="3" fontId="1" numFmtId="0" xfId="0" applyAlignment="1" applyBorder="1" applyFont="1">
      <alignment horizontal="center"/>
    </xf>
    <xf borderId="0" fillId="5" fontId="1" numFmtId="0" xfId="0" applyAlignment="1" applyFont="1">
      <alignment horizontal="center" readingOrder="0"/>
    </xf>
    <xf borderId="6" fillId="3" fontId="22" numFmtId="0" xfId="0" applyAlignment="1" applyBorder="1" applyFont="1">
      <alignment horizontal="left" readingOrder="0" shrinkToFit="0" vertical="center" wrapText="1"/>
    </xf>
    <xf borderId="7" fillId="0" fontId="23" numFmtId="0" xfId="0" applyBorder="1" applyFont="1"/>
    <xf borderId="8" fillId="0" fontId="23" numFmtId="0" xfId="0" applyBorder="1" applyFont="1"/>
    <xf borderId="6" fillId="3" fontId="24" numFmtId="0" xfId="0" applyAlignment="1" applyBorder="1" applyFont="1">
      <alignment horizontal="left" readingOrder="0" shrinkToFit="0" vertical="center" wrapText="1"/>
    </xf>
    <xf borderId="9" fillId="0" fontId="23" numFmtId="0" xfId="0" applyBorder="1" applyFont="1"/>
    <xf borderId="10" fillId="0" fontId="23" numFmtId="0" xfId="0" applyBorder="1" applyFont="1"/>
    <xf borderId="11" fillId="0" fontId="23" numFmtId="0" xfId="0" applyBorder="1" applyFont="1"/>
    <xf borderId="12" fillId="0" fontId="23" numFmtId="0" xfId="0" applyBorder="1" applyFont="1"/>
    <xf borderId="13" fillId="0" fontId="23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ACC9FE"/>
          <bgColor rgb="FFACC9FE"/>
        </patternFill>
      </fill>
      <border/>
    </dxf>
  </dxfs>
  <tableStyles count="5">
    <tableStyle count="4" pivot="0" name="Analysis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nalysis-style 2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nalysis-style 3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nalysis-style 4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nalysis-style 5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Roboto"/>
              </a:defRPr>
            </a:pPr>
            <a:r>
              <a:rPr b="1" sz="1600">
                <a:solidFill>
                  <a:srgbClr val="757575"/>
                </a:solidFill>
                <a:latin typeface="Roboto"/>
              </a:rPr>
              <a:t>Revenue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Analysis!$C$4:$C$5</c:f>
            </c:strRef>
          </c:tx>
          <c:spPr>
            <a:ln cmpd="sng" w="28575">
              <a:solidFill>
                <a:srgbClr val="2563EB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2563EB">
                  <a:alpha val="100000"/>
                </a:srgbClr>
              </a:solidFill>
              <a:ln cmpd="sng">
                <a:solidFill>
                  <a:srgbClr val="2563EB">
                    <a:alpha val="100000"/>
                  </a:srgbClr>
                </a:solidFill>
              </a:ln>
            </c:spPr>
          </c:marker>
          <c:dPt>
            <c:idx val="2"/>
            <c:marker>
              <c:symbol val="none"/>
            </c:marker>
          </c:dPt>
          <c:dLbls>
            <c:numFmt formatCode="[$$]#,##0.00" sourceLinked="0"/>
            <c:txPr>
              <a:bodyPr/>
              <a:lstStyle/>
              <a:p>
                <a:pPr lvl="0">
                  <a:defRPr b="1" sz="12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Analysis!$B$6:$B$8</c:f>
            </c:strRef>
          </c:cat>
          <c:val>
            <c:numRef>
              <c:f>Analysis!$C$6:$C$8</c:f>
              <c:numCache/>
            </c:numRef>
          </c:val>
          <c:smooth val="0"/>
        </c:ser>
        <c:axId val="1460758437"/>
        <c:axId val="1549633856"/>
      </c:lineChart>
      <c:catAx>
        <c:axId val="14607584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4B5563"/>
                </a:solidFill>
                <a:latin typeface="Roboto"/>
              </a:defRPr>
            </a:pPr>
          </a:p>
        </c:txPr>
        <c:crossAx val="1549633856"/>
      </c:catAx>
      <c:valAx>
        <c:axId val="154963385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[$$]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sz="1200">
                <a:solidFill>
                  <a:srgbClr val="4B5563"/>
                </a:solidFill>
                <a:latin typeface="Roboto"/>
              </a:defRPr>
            </a:pPr>
          </a:p>
        </c:txPr>
        <c:crossAx val="14607584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111827"/>
                </a:solidFill>
                <a:latin typeface="Roboto"/>
              </a:defRPr>
            </a:pPr>
            <a:r>
              <a:rPr b="0" sz="1600">
                <a:solidFill>
                  <a:srgbClr val="111827"/>
                </a:solidFill>
                <a:latin typeface="Roboto"/>
              </a:rPr>
              <a:t>Revenue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Analysis!$G$4:$G$5</c:f>
            </c:strRef>
          </c:tx>
          <c:spPr>
            <a:solidFill>
              <a:srgbClr val="94A3B8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dPt>
            <c:idx val="0"/>
            <c:spPr>
              <a:solidFill>
                <a:srgbClr val="2563EB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[$$]#,##0.00" sourceLinked="0"/>
            <c:txPr>
              <a:bodyPr/>
              <a:lstStyle/>
              <a:p>
                <a:pPr lvl="0">
                  <a:defRPr sz="12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Analysis!$F$6:$F$9</c:f>
            </c:strRef>
          </c:cat>
          <c:val>
            <c:numRef>
              <c:f>Analysis!$G$6:$G$9</c:f>
              <c:numCache/>
            </c:numRef>
          </c:val>
        </c:ser>
        <c:axId val="41291125"/>
        <c:axId val="846284182"/>
      </c:barChart>
      <c:catAx>
        <c:axId val="412911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4B5563"/>
                </a:solidFill>
                <a:latin typeface="Roboto"/>
              </a:defRPr>
            </a:pPr>
          </a:p>
        </c:txPr>
        <c:crossAx val="846284182"/>
      </c:catAx>
      <c:valAx>
        <c:axId val="84628418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4B5563"/>
                </a:solidFill>
                <a:latin typeface="Roboto"/>
              </a:defRPr>
            </a:pPr>
          </a:p>
        </c:txPr>
        <c:crossAx val="41291125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Roboto"/>
              </a:defRPr>
            </a:pPr>
            <a:r>
              <a:rPr b="0" sz="1600">
                <a:solidFill>
                  <a:srgbClr val="757575"/>
                </a:solidFill>
                <a:latin typeface="Roboto"/>
              </a:rPr>
              <a:t>Profit Margin by Category</a:t>
            </a:r>
          </a:p>
        </c:rich>
      </c:tx>
      <c:overlay val="0"/>
    </c:title>
    <c:plotArea>
      <c:layout>
        <c:manualLayout>
          <c:xMode val="edge"/>
          <c:yMode val="edge"/>
          <c:x val="0.13539950576606277"/>
          <c:y val="0.1327272727272728"/>
          <c:w val="0.7491519892505485"/>
          <c:h val="0.6935068349374426"/>
        </c:manualLayout>
      </c:layout>
      <c:barChart>
        <c:barDir val="bar"/>
        <c:ser>
          <c:idx val="0"/>
          <c:order val="0"/>
          <c:tx>
            <c:strRef>
              <c:f>Analysis!$K$4:$K$5</c:f>
            </c:strRef>
          </c:tx>
          <c:spPr>
            <a:solidFill>
              <a:srgbClr val="CBD5F5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dPt>
            <c:idx val="0"/>
            <c:spPr>
              <a:solidFill>
                <a:srgbClr val="2563EB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</c:dPt>
          <c:dPt>
            <c:idx val="2"/>
          </c:dPt>
          <c:dLbls>
            <c:numFmt formatCode="0.00%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Analysis!$J$6:$J$8</c:f>
            </c:strRef>
          </c:cat>
          <c:val>
            <c:numRef>
              <c:f>Analysis!$K$6:$K$8</c:f>
              <c:numCache/>
            </c:numRef>
          </c:val>
        </c:ser>
        <c:axId val="1334086530"/>
        <c:axId val="1751763828"/>
      </c:barChart>
      <c:catAx>
        <c:axId val="13340865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100">
                <a:solidFill>
                  <a:srgbClr val="4B5563"/>
                </a:solidFill>
                <a:latin typeface="Roboto"/>
              </a:defRPr>
            </a:pPr>
          </a:p>
        </c:txPr>
        <c:crossAx val="1751763828"/>
      </c:catAx>
      <c:valAx>
        <c:axId val="1751763828"/>
        <c:scaling>
          <c:orientation val="minMax"/>
          <c:max val="0.25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4B5563"/>
                </a:solidFill>
                <a:latin typeface="Roboto"/>
              </a:defRPr>
            </a:pPr>
          </a:p>
        </c:txPr>
        <c:crossAx val="133408653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904875</xdr:colOff>
      <xdr:row>10</xdr:row>
      <xdr:rowOff>171450</xdr:rowOff>
    </xdr:from>
    <xdr:ext cx="4876800" cy="2686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933450</xdr:colOff>
      <xdr:row>10</xdr:row>
      <xdr:rowOff>171450</xdr:rowOff>
    </xdr:from>
    <xdr:ext cx="4819650" cy="27336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885825</xdr:colOff>
      <xdr:row>10</xdr:row>
      <xdr:rowOff>171450</xdr:rowOff>
    </xdr:from>
    <xdr:ext cx="4876800" cy="27336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201" sheet="Clean_Data"/>
  </cacheSource>
  <cacheFields>
    <cacheField name="Order_ID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</sharedItems>
    </cacheField>
    <cacheField name="Date" numFmtId="165">
      <sharedItems containsSemiMixedTypes="0" containsNonDate="0" containsDate="1" containsString="0" minDate="2023-01-01T00:00:00Z" maxDate="2023-04-01T00:00:00Z">
        <d v="2023-03-24T00:00:00Z"/>
        <d v="2023-03-13T00:00:00Z"/>
        <d v="2023-02-12T00:00:00Z"/>
        <d v="2023-02-13T00:00:00Z"/>
        <d v="2023-03-01T00:00:00Z"/>
        <d v="2023-02-03T00:00:00Z"/>
        <d v="2023-01-03T00:00:00Z"/>
        <d v="2023-01-20T00:00:00Z"/>
        <d v="2023-02-01T00:00:00Z"/>
        <d v="2023-02-27T00:00:00Z"/>
        <d v="2023-01-22T00:00:00Z"/>
        <d v="2023-01-08T00:00:00Z"/>
        <d v="2023-03-07T00:00:00Z"/>
        <d v="2023-01-15T00:00:00Z"/>
        <d v="2023-02-20T00:00:00Z"/>
        <d v="2023-03-09T00:00:00Z"/>
        <d v="2023-02-02T00:00:00Z"/>
        <d v="2023-01-28T00:00:00Z"/>
        <d v="2023-03-12T00:00:00Z"/>
        <d v="2023-02-23T00:00:00Z"/>
        <d v="2023-01-25T00:00:00Z"/>
        <d v="2023-02-26T00:00:00Z"/>
        <d v="2023-02-28T00:00:00Z"/>
        <d v="2023-01-31T00:00:00Z"/>
        <d v="2023-03-19T00:00:00Z"/>
        <d v="2023-02-05T00:00:00Z"/>
        <d v="2023-03-29T00:00:00Z"/>
        <d v="2023-03-14T00:00:00Z"/>
        <d v="2023-03-18T00:00:00Z"/>
        <d v="2023-03-27T00:00:00Z"/>
        <d v="2023-02-16T00:00:00Z"/>
        <d v="2023-03-15T00:00:00Z"/>
        <d v="2023-03-04T00:00:00Z"/>
        <d v="2023-01-16T00:00:00Z"/>
        <d v="2023-01-11T00:00:00Z"/>
        <d v="2023-02-22T00:00:00Z"/>
        <d v="2023-01-09T00:00:00Z"/>
        <d v="2023-02-04T00:00:00Z"/>
        <d v="2023-03-02T00:00:00Z"/>
        <d v="2023-01-01T00:00:00Z"/>
        <d v="2023-03-28T00:00:00Z"/>
        <d v="2023-03-26T00:00:00Z"/>
        <d v="2023-01-12T00:00:00Z"/>
        <d v="2023-01-02T00:00:00Z"/>
        <d v="2023-01-18T00:00:00Z"/>
        <d v="2023-01-06T00:00:00Z"/>
        <d v="2023-03-22T00:00:00Z"/>
        <d v="2023-01-21T00:00:00Z"/>
        <d v="2023-03-11T00:00:00Z"/>
        <d v="2023-02-11T00:00:00Z"/>
        <d v="2023-02-06T00:00:00Z"/>
        <d v="2023-03-31T00:00:00Z"/>
        <d v="2023-01-27T00:00:00Z"/>
        <d v="2023-03-10T00:00:00Z"/>
        <d v="2023-01-10T00:00:00Z"/>
        <d v="2023-02-17T00:00:00Z"/>
        <d v="2023-03-08T00:00:00Z"/>
        <d v="2023-03-30T00:00:00Z"/>
        <d v="2023-01-07T00:00:00Z"/>
        <d v="2023-03-21T00:00:00Z"/>
        <d v="2023-02-14T00:00:00Z"/>
        <d v="2023-02-09T00:00:00Z"/>
        <d v="2023-02-15T00:00:00Z"/>
        <d v="2023-01-24T00:00:00Z"/>
        <d v="2023-02-08T00:00:00Z"/>
        <d v="2023-01-17T00:00:00Z"/>
        <d v="2023-02-10T00:00:00Z"/>
        <d v="2023-03-23T00:00:00Z"/>
        <d v="2023-03-05T00:00:00Z"/>
        <d v="2023-01-30T00:00:00Z"/>
        <d v="2023-03-17T00:00:00Z"/>
        <d v="2023-01-26T00:00:00Z"/>
        <d v="2023-01-05T00:00:00Z"/>
        <d v="2023-03-25T00:00:00Z"/>
        <d v="2023-03-06T00:00:00Z"/>
        <d v="2023-01-29T00:00:00Z"/>
        <d v="2023-02-25T00:00:00Z"/>
      </sharedItems>
      <fieldGroup base="1">
        <rangePr autoStart="0" autoEnd="0" groupBy="months" startDate="2023-01-01T00:00:00Z" endDate="2023-04-01T00:00:00Z"/>
        <groupItems>
          <s v="&lt;01/01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/01/23"/>
        </groupItems>
      </fieldGroup>
    </cacheField>
    <cacheField name="Region" numFmtId="0">
      <sharedItems>
        <s v="West"/>
        <s v="North"/>
        <s v="South"/>
        <s v="East"/>
      </sharedItems>
    </cacheField>
    <cacheField name="City" numFmtId="0">
      <sharedItems>
        <s v="Mumbai"/>
        <s v="Delhi"/>
        <s v="Bangalore"/>
        <s v="Kolkata"/>
        <s v="Pune"/>
        <s v="Jaipur"/>
        <s v="Chennai"/>
        <s v="Patna"/>
        <s v="Hyderabad"/>
        <s v="Ahmedabad"/>
        <s v="Nagpur"/>
        <s v="Chandigarh"/>
        <s v="Bhubaneswar"/>
        <s v="Guwahati"/>
        <s v="Surat"/>
        <s v="Lucknow"/>
        <s v="Ranchi"/>
      </sharedItems>
    </cacheField>
    <cacheField name="Category" numFmtId="0">
      <sharedItems>
        <s v="Electronics"/>
        <s v="Furniture"/>
        <s v="Clothing"/>
      </sharedItems>
    </cacheField>
    <cacheField name="Product" numFmtId="0">
      <sharedItems>
        <s v="Mobile"/>
        <s v="Chair"/>
        <s v="T-Shirt"/>
        <s v="Laptop"/>
        <s v="Table"/>
        <s v="Jeans"/>
        <s v="Tablet"/>
        <s v="Sofa"/>
        <s v="Jacket"/>
        <s v="Headphones"/>
        <s v="Shirt"/>
        <s v="Smartwatch"/>
        <s v="Bed"/>
        <s v="Hoodie"/>
        <s v="Camera"/>
        <s v="Almirah"/>
        <s v="Tracksuit"/>
        <s v="Speaker"/>
        <s v="Desk"/>
      </sharedItems>
    </cacheField>
    <cacheField name="Customer_Type" numFmtId="0">
      <sharedItems>
        <s v="Consumer"/>
        <s v="Corporate"/>
        <s v="Home Office"/>
      </sharedItems>
    </cacheField>
    <cacheField name="Sales" numFmtId="166">
      <sharedItems containsSemiMixedTypes="0" containsString="0" containsNumber="1" containsInteger="1">
        <n v="22000.0"/>
        <n v="7000.0"/>
        <n v="1500.0"/>
        <n v="55000.0"/>
        <n v="9000.0"/>
        <n v="2500.0"/>
        <n v="15000.0"/>
        <n v="30000.0"/>
        <n v="3500.0"/>
        <n v="3000.0"/>
        <n v="6000.0"/>
        <n v="1200.0"/>
        <n v="21000.0"/>
        <n v="9500.0"/>
        <n v="1600.0"/>
        <n v="52000.0"/>
        <n v="28000.0"/>
        <n v="2600.0"/>
        <n v="14000.0"/>
        <n v="6500.0"/>
        <n v="3800.0"/>
        <n v="23000.0"/>
        <n v="10000.0"/>
        <n v="1800.0"/>
        <n v="2800.0"/>
        <n v="32000.0"/>
        <n v="1700.0"/>
        <n v="54000.0"/>
        <n v="6800.0"/>
        <n v="2700.0"/>
        <n v="11000.0"/>
        <n v="2000.0"/>
        <n v="16000.0"/>
        <n v="4000.0"/>
        <n v="58000.0"/>
        <n v="7500.0"/>
        <n v="2900.0"/>
        <n v="31000.0"/>
        <n v="2200.0"/>
        <n v="15500.0"/>
        <n v="1400.0"/>
        <n v="23490.0"/>
        <n v="5714.0"/>
        <n v="2420.0"/>
        <n v="52254.0"/>
        <n v="7576.0"/>
        <n v="3335.0"/>
        <n v="13544.0"/>
        <n v="30525.0"/>
        <n v="4228.0"/>
        <n v="4828.0"/>
        <n v="8504.0"/>
        <n v="-324.0"/>
        <n v="21361.0"/>
        <n v="10777.0"/>
        <n v="3081.0"/>
        <n v="54766.0"/>
        <n v="28253.0"/>
        <n v="-149.0"/>
        <n v="11156.0"/>
        <n v="7797.0"/>
        <n v="3747.0"/>
        <n v="20276.0"/>
        <n v="7744.0"/>
        <n v="3079.0"/>
        <n v="3866.0"/>
        <n v="34112.0"/>
        <n v="2693.0"/>
        <n v="56944.0"/>
        <n v="4032.0"/>
        <n v="78.0"/>
        <n v="19545.0"/>
        <n v="8405.0"/>
        <n v="-382.0"/>
        <n v="14342.0"/>
        <n v="30548.0"/>
        <n v="6886.0"/>
        <n v="59409.0"/>
        <n v="9333.0"/>
        <n v="3921.0"/>
        <n v="22653.0"/>
        <n v="7169.0"/>
        <n v="4998.0"/>
        <n v="3494.0"/>
        <n v="28659.0"/>
        <n v="3449.0"/>
        <n v="16881.0"/>
        <n v="5885.0"/>
        <n v="-769.0"/>
        <n v="23413.0"/>
        <n v="9562.0"/>
        <n v="4695.0"/>
        <n v="20490.0"/>
        <n v="12926.0"/>
        <n v="485.0"/>
        <n v="13303.0"/>
        <n v="30257.0"/>
        <n v="2260.0"/>
        <n v="58426.0"/>
        <n v="8353.0"/>
        <n v="-375.0"/>
        <n v="20470.0"/>
        <n v="9806.0"/>
        <n v="3589.0"/>
        <n v="5106.0"/>
        <n v="28133.0"/>
        <n v="766.0"/>
        <n v="15177.0"/>
        <n v="7817.0"/>
        <n v="891.0"/>
        <n v="23233.0"/>
        <n v="12012.0"/>
        <n v="22775.0"/>
        <n v="3355.0"/>
        <n v="2423.0"/>
        <n v="51081.0"/>
        <n v="10466.0"/>
        <n v="5609.0"/>
        <n v="15815.0"/>
        <n v="30234.0"/>
        <n v="7150.0"/>
        <n v="5830.0"/>
        <n v="10973.0"/>
        <n v="-2358.0"/>
        <n v="20168.0"/>
        <n v="8651.0"/>
        <n v="3170.0"/>
        <n v="52157.0"/>
        <n v="30873.0"/>
        <n v="-3062.0"/>
        <n v="13219.0"/>
        <n v="10568.0"/>
        <n v="2927.0"/>
        <n v="18599.0"/>
        <n v="5785.0"/>
        <n v="3322.0"/>
        <n v="3064.0"/>
        <n v="35556.0"/>
        <n v="1024.0"/>
        <n v="54581.0"/>
        <n v="4674.0"/>
        <n v="-2362.0"/>
        <n v="20492.0"/>
        <n v="11301.0"/>
        <n v="-1717.0"/>
        <n v="14011.0"/>
        <n v="30887.0"/>
        <n v="9514.0"/>
        <n v="58430.0"/>
        <n v="6549.0"/>
        <n v="6881.0"/>
        <n v="21329.0"/>
        <n v="9086.0"/>
        <n v="5269.0"/>
        <n v="27052.0"/>
        <n v="4183.0"/>
        <n v="14740.0"/>
        <n v="7194.0"/>
        <n v="1259.0"/>
        <n v="26352.0"/>
        <n v="12065.0"/>
        <n v="7355.0"/>
        <n v="22821.0"/>
        <n v="13771.0"/>
        <n v="1301.0"/>
        <n v="15535.0"/>
        <n v="29328.0"/>
        <n v="-44.0"/>
        <n v="61105.0"/>
      </sharedItems>
    </cacheField>
    <cacheField name="Quantity" numFmtId="3">
      <sharedItems containsSemiMixedTypes="0" containsString="0" containsNumber="1" containsInteger="1">
        <n v="1.0"/>
        <n v="3.0"/>
        <n v="2.0"/>
      </sharedItems>
    </cacheField>
    <cacheField name="Discount" numFmtId="10">
      <sharedItems containsSemiMixedTypes="0" containsString="0" containsNumber="1">
        <n v="0.08"/>
        <n v="0.15"/>
        <n v="0.05"/>
        <n v="0.06"/>
        <n v="0.12"/>
        <n v="0.1"/>
        <n v="0.07"/>
        <n v="0.18"/>
        <n v="0.09"/>
        <n v="0.17"/>
        <n v="0.13"/>
        <n v="0.14"/>
        <n v="0.11"/>
        <n v="0.2"/>
        <n v="0.16"/>
        <n v="0.19"/>
      </sharedItems>
    </cacheField>
    <cacheField name="Profit" numFmtId="166">
      <sharedItems containsSemiMixedTypes="0" containsString="0" containsNumber="1" containsInteger="1">
        <n v="3200.0"/>
        <n v="1200.0"/>
        <n v="400.0"/>
        <n v="7000.0"/>
        <n v="1500.0"/>
        <n v="600.0"/>
        <n v="2200.0"/>
        <n v="4000.0"/>
        <n v="800.0"/>
        <n v="1000.0"/>
        <n v="300.0"/>
        <n v="3100.0"/>
        <n v="1400.0"/>
        <n v="450.0"/>
        <n v="6800.0"/>
        <n v="3500.0"/>
        <n v="650.0"/>
        <n v="1100.0"/>
        <n v="850.0"/>
        <n v="3300.0"/>
        <n v="1600.0"/>
        <n v="550.0"/>
        <n v="4200.0"/>
        <n v="1700.0"/>
        <n v="2500.0"/>
        <n v="3900.0"/>
        <n v="900.0"/>
        <n v="7800.0"/>
        <n v="1300.0"/>
        <n v="2400.0"/>
        <n v="3169.0"/>
        <n v="761.0"/>
        <n v="192.0"/>
        <n v="7173.0"/>
        <n v="936.0"/>
        <n v="1013.0"/>
        <n v="2431.0"/>
        <n v="3309.0"/>
        <n v="169.0"/>
        <n v="692.0"/>
        <n v="1542.0"/>
        <n v="599.0"/>
        <n v="3062.0"/>
        <n v="1454.0"/>
        <n v="629.0"/>
        <n v="6841.0"/>
        <n v="2851.0"/>
        <n v="1217.0"/>
        <n v="2762.0"/>
        <n v="1870.0"/>
        <n v="1364.0"/>
        <n v="3408.0"/>
        <n v="1555.0"/>
        <n v="266.0"/>
        <n v="319.0"/>
        <n v="4857.0"/>
        <n v="431.0"/>
        <n v="6517.0"/>
        <n v="1620.0"/>
        <n v="393.0"/>
        <n v="3452.0"/>
        <n v="1784.0"/>
        <n v="677.0"/>
        <n v="3256.0"/>
        <n v="3179.0"/>
        <n v="406.0"/>
        <n v="8169.0"/>
        <n v="1752.0"/>
        <n v="-151.0"/>
        <n v="3437.0"/>
        <n v="925.0"/>
        <n v="796.0"/>
        <n v="189.0"/>
        <n v="3765.0"/>
        <n v="240.0"/>
        <n v="2604.0"/>
        <n v="368.0"/>
        <n v="845.0"/>
        <n v="3914.0"/>
        <n v="1090.0"/>
        <n v="889.0"/>
        <n v="3409.0"/>
        <n v="1816.0"/>
        <n v="681.0"/>
        <n v="2282.0"/>
        <n v="3337.0"/>
        <n v="1553.0"/>
        <n v="7461.0"/>
        <n v="871.0"/>
        <n v="-140.0"/>
        <n v="2589.0"/>
        <n v="901.0"/>
        <n v="-46.0"/>
        <n v="152.0"/>
        <n v="3506.0"/>
        <n v="963.0"/>
        <n v="2633.0"/>
        <n v="788.0"/>
        <n v="372.0"/>
        <n v="3044.0"/>
        <n v="1738.0"/>
        <n v="3697.0"/>
        <n v="516.0"/>
        <n v="6612.0"/>
        <n v="579.0"/>
        <n v="913.0"/>
        <n v="2701.0"/>
        <n v="3238.0"/>
        <n v="139.0"/>
        <n v="633.0"/>
        <n v="826.0"/>
        <n v="1329.0"/>
        <n v="2993.0"/>
        <n v="718.0"/>
        <n v="185.0"/>
        <n v="7216.0"/>
        <n v="3197.0"/>
        <n v="1968.0"/>
        <n v="3273.0"/>
        <n v="1372.0"/>
        <n v="860.0"/>
        <n v="4147.0"/>
        <n v="1900.0"/>
        <n v="931.0"/>
        <n v="-35.0"/>
        <n v="5060.0"/>
        <n v="1112.0"/>
        <n v="5976.0"/>
        <n v="1970.0"/>
        <n v="444.0"/>
        <n v="3862.0"/>
        <n v="1065.0"/>
        <n v="271.0"/>
        <n v="4033.0"/>
        <n v="3380.0"/>
        <n v="1003.0"/>
        <n v="8095.0"/>
        <n v="2274.0"/>
        <n v="-596.0"/>
        <n v="2885.0"/>
        <n v="1062.0"/>
        <n v="1449.0"/>
        <n v="842.0"/>
        <n v="4369.0"/>
        <n v="-71.0"/>
        <n v="2046.0"/>
        <n v="513.0"/>
        <n v="293.0"/>
        <n v="310.0"/>
        <n v="1027.0"/>
        <n v="4144.0"/>
        <n v="1506.0"/>
        <n v="1427.0"/>
        <n v="2052.0"/>
        <n v="4041.0"/>
        <n v="875.0"/>
        <n v="6861.0"/>
      </sharedItems>
    </cacheField>
    <cacheField name="Profit_Margin" numFmtId="10">
      <sharedItems containsSemiMixedTypes="0" containsString="0" containsNumber="1">
        <n v="0.14545454545454545"/>
        <n v="0.17142857142857143"/>
        <n v="0.26666666666666666"/>
        <n v="0.12727272727272726"/>
        <n v="0.16666666666666666"/>
        <n v="0.24"/>
        <n v="0.14666666666666667"/>
        <n v="0.13333333333333333"/>
        <n v="0.22857142857142856"/>
        <n v="0.2"/>
        <n v="0.25"/>
        <n v="0.14761904761904762"/>
        <n v="0.14736842105263157"/>
        <n v="0.28125"/>
        <n v="0.13076923076923078"/>
        <n v="0.125"/>
        <n v="0.15714285714285714"/>
        <n v="0.16923076923076924"/>
        <n v="0.2236842105263158"/>
        <n v="0.14347826086956522"/>
        <n v="0.16"/>
        <n v="0.2222222222222222"/>
        <n v="0.19642857142857142"/>
        <n v="0.13125"/>
        <n v="0.2647058823529412"/>
        <n v="0.12962962962962962"/>
        <n v="0.17647058823529413"/>
        <n v="0.24074074074074073"/>
        <n v="0.15454545454545454"/>
        <n v="0.15625"/>
        <n v="0.13"/>
        <n v="0.225"/>
        <n v="0.13448275862068965"/>
        <n v="0.17333333333333334"/>
        <n v="0.15789473684210525"/>
        <n v="0.1896551724137931"/>
        <n v="0.12903225806451613"/>
        <n v="0.20454545454545456"/>
        <n v="0.15483870967741936"/>
        <n v="0.21428571428571427"/>
        <n v="0.13490847169008088"/>
        <n v="0.13318165908295415"/>
        <n v="0.07933884297520662"/>
        <n v="0.13727178780571822"/>
        <n v="0.1235480464625132"/>
        <n v="0.3037481259370315"/>
        <n v="0.17948907265209688"/>
        <n v="0.10840294840294841"/>
        <n v="0.039971617786187325"/>
        <n v="0.14333057166528584"/>
        <n v="0.18132643461900283"/>
        <n v="-1.8487654320987654"/>
        <n v="0.14334534900051496"/>
        <n v="0.13491695276978752"/>
        <n v="0.2041544952937358"/>
        <n v="0.12491326735565862"/>
        <n v="0.10090963791455775"/>
        <n v="-8.167785234899329"/>
        <n v="0.2475797776980997"/>
        <n v="0.23983583429524177"/>
        <n v="0.3640245529757139"/>
        <n v="0.16808048924837246"/>
        <n v="0.20080061983471073"/>
        <n v="0.08639168561221176"/>
        <n v="0.08251422659079151"/>
        <n v="0.14238391181988744"/>
        <n v="0.16004455997029335"/>
        <n v="0.11444577128406856"/>
        <n v="0.4017857142857143"/>
        <n v="5.038461538461538"/>
        <n v="0.17661806088513687"/>
        <n v="0.21225461035098156"/>
        <n v="-1.7722513089005236"/>
        <n v="0.22702551945335378"/>
        <n v="0.10406573261751997"/>
        <n v="0.058960209119953526"/>
        <n v="0.1375044185224461"/>
        <n v="0.18772099003535841"/>
        <n v="-0.038510584034685026"/>
        <n v="0.15172383348783824"/>
        <n v="0.12902775840424047"/>
        <n v="0.15926370548219287"/>
        <n v="0.05409273039496279"/>
        <n v="0.13137234376635612"/>
        <n v="0.06958538706871557"/>
        <n v="0.15425626443931048"/>
        <n v="0.06253186066270179"/>
        <n v="-1.0988296488946685"/>
        <n v="0.16717208388502114"/>
        <n v="0.11399288851704664"/>
        <n v="0.1893503727369542"/>
        <n v="0.16637384089799903"/>
        <n v="0.14049203156428902"/>
        <n v="1.404123711340206"/>
        <n v="0.1715402540780275"/>
        <n v="0.11028852827444889"/>
        <n v="0.6871681415929204"/>
        <n v="0.12769999657686645"/>
        <n v="0.10427391356398899"/>
        <n v="0.37333333333333335"/>
        <n v="0.12647777234978017"/>
        <n v="0.09188252090556802"/>
        <n v="-0.012816940651992199"/>
        <n v="0.029768899334116725"/>
        <n v="0.12462232964845556"/>
        <n v="1.2571801566579635"/>
        <n v="0.17348619621796138"/>
        <n v="0.10080593578099015"/>
        <n v="0.4175084175084175"/>
        <n v="0.13102053114104936"/>
        <n v="0.1446886446886447"/>
        <n v="0.1623271130625686"/>
        <n v="0.15380029806259315"/>
        <n v="0.247214197276104"/>
        <n v="0.12944147530392905"/>
        <n v="0.05532199503153067"/>
        <n v="0.16277411303262615"/>
        <n v="0.1707872273158394"/>
        <n v="0.10709796917377787"/>
        <n v="0.01944055944055944"/>
        <n v="0.10857632933104631"/>
        <n v="0.07527567666089492"/>
        <n v="-0.5636132315521628"/>
        <n v="0.14840341134470447"/>
        <n v="0.08299618541209108"/>
        <n v="0.0583596214511041"/>
        <n v="0.1383515156163123"/>
        <n v="0.1035532666083633"/>
        <n v="-0.6427171783148269"/>
        <n v="0.2475981541720251"/>
        <n v="0.12982588947766843"/>
        <n v="0.29381619405534676"/>
        <n v="0.2229689768267111"/>
        <n v="0.32843560933448573"/>
        <n v="0.2802528597230584"/>
        <n v="-0.011422976501305483"/>
        <n v="0.14231072111598606"/>
        <n v="1.0859375"/>
        <n v="0.10948864989648413"/>
        <n v="0.42148053059477963"/>
        <n v="-0.18797629127857748"/>
        <n v="0.18846379074760883"/>
        <n v="0.09423944783647464"/>
        <n v="-0.1578334304018637"/>
        <n v="0.28784526443508673"/>
        <n v="0.10943115226470683"/>
        <n v="0.1054235862938827"/>
        <n v="0.13854184494266644"/>
        <n v="0.3472285845167201"/>
        <n v="-0.08661531754105507"/>
        <n v="0.1352618500632941"/>
        <n v="0.11688311688311688"/>
        <n v="0.2415"/>
        <n v="0.159802619092807"/>
        <n v="0.16150377051604317"/>
        <n v="-0.016973464021037533"/>
        <n v="0.13880597014925372"/>
        <n v="0.07130942452043369"/>
        <n v="0.23272438443208895"/>
        <n v="0.12522768670309653"/>
        <n v="0.0256941566514712"/>
        <n v="0.13963290278721957"/>
        <n v="0.18158713465667586"/>
        <n v="0.109360249800305"/>
        <n v="1.0968485780169102"/>
        <n v="0.13208883167042162"/>
        <n v="0.13778641571194764"/>
        <n v="-19.886363636363637"/>
        <n v="0.11228213730463955"/>
      </sharedItems>
    </cacheField>
    <cacheField name="Status" numFmtId="0">
      <sharedItems>
        <s v="VALID"/>
        <s v="INVALID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201" sheet="Clean_Data"/>
  </cacheSource>
  <cacheFields>
    <cacheField name="Order_ID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</sharedItems>
    </cacheField>
    <cacheField name="Date" numFmtId="165">
      <sharedItems containsSemiMixedTypes="0" containsDate="1" containsString="0">
        <d v="2023-03-24T00:00:00Z"/>
        <d v="2023-03-13T00:00:00Z"/>
        <d v="2023-02-12T00:00:00Z"/>
        <d v="2023-02-13T00:00:00Z"/>
        <d v="2023-03-01T00:00:00Z"/>
        <d v="2023-02-03T00:00:00Z"/>
        <d v="2023-01-03T00:00:00Z"/>
        <d v="2023-01-20T00:00:00Z"/>
        <d v="2023-02-01T00:00:00Z"/>
        <d v="2023-02-27T00:00:00Z"/>
        <d v="2023-01-22T00:00:00Z"/>
        <d v="2023-01-08T00:00:00Z"/>
        <d v="2023-03-07T00:00:00Z"/>
        <d v="2023-01-15T00:00:00Z"/>
        <d v="2023-02-20T00:00:00Z"/>
        <d v="2023-03-09T00:00:00Z"/>
        <d v="2023-02-02T00:00:00Z"/>
        <d v="2023-01-28T00:00:00Z"/>
        <d v="2023-03-12T00:00:00Z"/>
        <d v="2023-02-23T00:00:00Z"/>
        <d v="2023-01-25T00:00:00Z"/>
        <d v="2023-02-26T00:00:00Z"/>
        <d v="2023-02-28T00:00:00Z"/>
        <d v="2023-01-31T00:00:00Z"/>
        <d v="2023-03-19T00:00:00Z"/>
        <d v="2023-02-05T00:00:00Z"/>
        <d v="2023-03-29T00:00:00Z"/>
        <d v="2023-03-14T00:00:00Z"/>
        <d v="2023-03-18T00:00:00Z"/>
        <d v="2023-03-27T00:00:00Z"/>
        <d v="2023-02-16T00:00:00Z"/>
        <d v="2023-03-15T00:00:00Z"/>
        <d v="2023-03-04T00:00:00Z"/>
        <d v="2023-01-16T00:00:00Z"/>
        <d v="2023-01-11T00:00:00Z"/>
        <d v="2023-02-22T00:00:00Z"/>
        <d v="2023-01-09T00:00:00Z"/>
        <d v="2023-02-04T00:00:00Z"/>
        <d v="2023-03-02T00:00:00Z"/>
        <d v="2023-01-01T00:00:00Z"/>
        <d v="2023-03-28T00:00:00Z"/>
        <d v="2023-03-26T00:00:00Z"/>
        <d v="2023-01-12T00:00:00Z"/>
        <d v="2023-01-02T00:00:00Z"/>
        <d v="2023-01-18T00:00:00Z"/>
        <d v="2023-01-06T00:00:00Z"/>
        <d v="2023-03-22T00:00:00Z"/>
        <d v="2023-01-21T00:00:00Z"/>
        <d v="2023-03-11T00:00:00Z"/>
        <d v="2023-02-11T00:00:00Z"/>
        <d v="2023-02-06T00:00:00Z"/>
        <d v="2023-03-31T00:00:00Z"/>
        <d v="2023-01-27T00:00:00Z"/>
        <d v="2023-03-10T00:00:00Z"/>
        <d v="2023-01-10T00:00:00Z"/>
        <d v="2023-02-17T00:00:00Z"/>
        <d v="2023-03-08T00:00:00Z"/>
        <d v="2023-03-30T00:00:00Z"/>
        <d v="2023-01-07T00:00:00Z"/>
        <d v="2023-03-21T00:00:00Z"/>
        <d v="2023-02-14T00:00:00Z"/>
        <d v="2023-02-09T00:00:00Z"/>
        <d v="2023-02-15T00:00:00Z"/>
        <d v="2023-01-24T00:00:00Z"/>
        <d v="2023-02-08T00:00:00Z"/>
        <d v="2023-01-17T00:00:00Z"/>
        <d v="2023-02-10T00:00:00Z"/>
        <d v="2023-03-23T00:00:00Z"/>
        <d v="2023-03-05T00:00:00Z"/>
        <d v="2023-01-30T00:00:00Z"/>
        <d v="2023-03-17T00:00:00Z"/>
        <d v="2023-01-26T00:00:00Z"/>
        <d v="2023-01-05T00:00:00Z"/>
        <d v="2023-03-25T00:00:00Z"/>
        <d v="2023-03-06T00:00:00Z"/>
        <d v="2023-01-29T00:00:00Z"/>
        <d v="2023-02-25T00:00:00Z"/>
      </sharedItems>
    </cacheField>
    <cacheField name="Region" numFmtId="0">
      <sharedItems>
        <s v="West"/>
        <s v="North"/>
        <s v="South"/>
        <s v="East"/>
      </sharedItems>
    </cacheField>
    <cacheField name="City" numFmtId="0">
      <sharedItems>
        <s v="Mumbai"/>
        <s v="Delhi"/>
        <s v="Bangalore"/>
        <s v="Kolkata"/>
        <s v="Pune"/>
        <s v="Jaipur"/>
        <s v="Chennai"/>
        <s v="Patna"/>
        <s v="Hyderabad"/>
        <s v="Ahmedabad"/>
        <s v="Nagpur"/>
        <s v="Chandigarh"/>
        <s v="Bhubaneswar"/>
        <s v="Guwahati"/>
        <s v="Surat"/>
        <s v="Lucknow"/>
        <s v="Ranchi"/>
      </sharedItems>
    </cacheField>
    <cacheField name="Category" numFmtId="0">
      <sharedItems>
        <s v="Electronics"/>
        <s v="Furniture"/>
        <s v="Clothing"/>
      </sharedItems>
    </cacheField>
    <cacheField name="Product" numFmtId="0">
      <sharedItems>
        <s v="Mobile"/>
        <s v="Chair"/>
        <s v="T-Shirt"/>
        <s v="Laptop"/>
        <s v="Table"/>
        <s v="Jeans"/>
        <s v="Tablet"/>
        <s v="Sofa"/>
        <s v="Jacket"/>
        <s v="Headphones"/>
        <s v="Shirt"/>
        <s v="Smartwatch"/>
        <s v="Bed"/>
        <s v="Hoodie"/>
        <s v="Camera"/>
        <s v="Almirah"/>
        <s v="Tracksuit"/>
        <s v="Speaker"/>
        <s v="Desk"/>
      </sharedItems>
    </cacheField>
    <cacheField name="Customer_Type" numFmtId="0">
      <sharedItems>
        <s v="Consumer"/>
        <s v="Corporate"/>
        <s v="Home Office"/>
      </sharedItems>
    </cacheField>
    <cacheField name="Sales" numFmtId="166">
      <sharedItems containsSemiMixedTypes="0" containsString="0" containsNumber="1" containsInteger="1">
        <n v="22000.0"/>
        <n v="7000.0"/>
        <n v="1500.0"/>
        <n v="55000.0"/>
        <n v="9000.0"/>
        <n v="2500.0"/>
        <n v="15000.0"/>
        <n v="30000.0"/>
        <n v="3500.0"/>
        <n v="3000.0"/>
        <n v="6000.0"/>
        <n v="1200.0"/>
        <n v="21000.0"/>
        <n v="9500.0"/>
        <n v="1600.0"/>
        <n v="52000.0"/>
        <n v="28000.0"/>
        <n v="2600.0"/>
        <n v="14000.0"/>
        <n v="6500.0"/>
        <n v="3800.0"/>
        <n v="23000.0"/>
        <n v="10000.0"/>
        <n v="1800.0"/>
        <n v="2800.0"/>
        <n v="32000.0"/>
        <n v="1700.0"/>
        <n v="54000.0"/>
        <n v="6800.0"/>
        <n v="2700.0"/>
        <n v="11000.0"/>
        <n v="2000.0"/>
        <n v="16000.0"/>
        <n v="4000.0"/>
        <n v="58000.0"/>
        <n v="7500.0"/>
        <n v="2900.0"/>
        <n v="31000.0"/>
        <n v="2200.0"/>
        <n v="15500.0"/>
        <n v="1400.0"/>
        <n v="23490.0"/>
        <n v="5714.0"/>
        <n v="2420.0"/>
        <n v="52254.0"/>
        <n v="7576.0"/>
        <n v="3335.0"/>
        <n v="13544.0"/>
        <n v="30525.0"/>
        <n v="4228.0"/>
        <n v="4828.0"/>
        <n v="8504.0"/>
        <n v="-324.0"/>
        <n v="21361.0"/>
        <n v="10777.0"/>
        <n v="3081.0"/>
        <n v="54766.0"/>
        <n v="28253.0"/>
        <n v="-149.0"/>
        <n v="11156.0"/>
        <n v="7797.0"/>
        <n v="3747.0"/>
        <n v="20276.0"/>
        <n v="7744.0"/>
        <n v="3079.0"/>
        <n v="3866.0"/>
        <n v="34112.0"/>
        <n v="2693.0"/>
        <n v="56944.0"/>
        <n v="4032.0"/>
        <n v="78.0"/>
        <n v="19545.0"/>
        <n v="8405.0"/>
        <n v="-382.0"/>
        <n v="14342.0"/>
        <n v="30548.0"/>
        <n v="6886.0"/>
        <n v="59409.0"/>
        <n v="9333.0"/>
        <n v="3921.0"/>
        <n v="22653.0"/>
        <n v="7169.0"/>
        <n v="4998.0"/>
        <n v="3494.0"/>
        <n v="28659.0"/>
        <n v="3449.0"/>
        <n v="16881.0"/>
        <n v="5885.0"/>
        <n v="-769.0"/>
        <n v="23413.0"/>
        <n v="9562.0"/>
        <n v="4695.0"/>
        <n v="20490.0"/>
        <n v="12926.0"/>
        <n v="485.0"/>
        <n v="13303.0"/>
        <n v="30257.0"/>
        <n v="2260.0"/>
        <n v="58426.0"/>
        <n v="8353.0"/>
        <n v="-375.0"/>
        <n v="20470.0"/>
        <n v="9806.0"/>
        <n v="3589.0"/>
        <n v="5106.0"/>
        <n v="28133.0"/>
        <n v="766.0"/>
        <n v="15177.0"/>
        <n v="7817.0"/>
        <n v="891.0"/>
        <n v="23233.0"/>
        <n v="12012.0"/>
        <n v="22775.0"/>
        <n v="3355.0"/>
        <n v="2423.0"/>
        <n v="51081.0"/>
        <n v="10466.0"/>
        <n v="5609.0"/>
        <n v="15815.0"/>
        <n v="30234.0"/>
        <n v="7150.0"/>
        <n v="5830.0"/>
        <n v="10973.0"/>
        <n v="-2358.0"/>
        <n v="20168.0"/>
        <n v="8651.0"/>
        <n v="3170.0"/>
        <n v="52157.0"/>
        <n v="30873.0"/>
        <n v="-3062.0"/>
        <n v="13219.0"/>
        <n v="10568.0"/>
        <n v="2927.0"/>
        <n v="18599.0"/>
        <n v="5785.0"/>
        <n v="3322.0"/>
        <n v="3064.0"/>
        <n v="35556.0"/>
        <n v="1024.0"/>
        <n v="54581.0"/>
        <n v="4674.0"/>
        <n v="-2362.0"/>
        <n v="20492.0"/>
        <n v="11301.0"/>
        <n v="-1717.0"/>
        <n v="14011.0"/>
        <n v="30887.0"/>
        <n v="9514.0"/>
        <n v="58430.0"/>
        <n v="6549.0"/>
        <n v="6881.0"/>
        <n v="21329.0"/>
        <n v="9086.0"/>
        <n v="5269.0"/>
        <n v="27052.0"/>
        <n v="4183.0"/>
        <n v="14740.0"/>
        <n v="7194.0"/>
        <n v="1259.0"/>
        <n v="26352.0"/>
        <n v="12065.0"/>
        <n v="7355.0"/>
        <n v="22821.0"/>
        <n v="13771.0"/>
        <n v="1301.0"/>
        <n v="15535.0"/>
        <n v="29328.0"/>
        <n v="-44.0"/>
        <n v="61105.0"/>
      </sharedItems>
    </cacheField>
    <cacheField name="Quantity" numFmtId="3">
      <sharedItems containsSemiMixedTypes="0" containsString="0" containsNumber="1" containsInteger="1">
        <n v="1.0"/>
        <n v="3.0"/>
        <n v="2.0"/>
      </sharedItems>
    </cacheField>
    <cacheField name="Discount" numFmtId="10">
      <sharedItems containsSemiMixedTypes="0" containsString="0" containsNumber="1">
        <n v="0.08"/>
        <n v="0.15"/>
        <n v="0.05"/>
        <n v="0.06"/>
        <n v="0.12"/>
        <n v="0.1"/>
        <n v="0.07"/>
        <n v="0.18"/>
        <n v="0.09"/>
        <n v="0.17"/>
        <n v="0.13"/>
        <n v="0.14"/>
        <n v="0.11"/>
        <n v="0.2"/>
        <n v="0.16"/>
        <n v="0.19"/>
      </sharedItems>
    </cacheField>
    <cacheField name="Profit" numFmtId="166">
      <sharedItems containsSemiMixedTypes="0" containsString="0" containsNumber="1" containsInteger="1">
        <n v="3200.0"/>
        <n v="1200.0"/>
        <n v="400.0"/>
        <n v="7000.0"/>
        <n v="1500.0"/>
        <n v="600.0"/>
        <n v="2200.0"/>
        <n v="4000.0"/>
        <n v="800.0"/>
        <n v="1000.0"/>
        <n v="300.0"/>
        <n v="3100.0"/>
        <n v="1400.0"/>
        <n v="450.0"/>
        <n v="6800.0"/>
        <n v="3500.0"/>
        <n v="650.0"/>
        <n v="1100.0"/>
        <n v="850.0"/>
        <n v="3300.0"/>
        <n v="1600.0"/>
        <n v="550.0"/>
        <n v="4200.0"/>
        <n v="1700.0"/>
        <n v="2500.0"/>
        <n v="3900.0"/>
        <n v="900.0"/>
        <n v="7800.0"/>
        <n v="1300.0"/>
        <n v="2400.0"/>
        <n v="3169.0"/>
        <n v="761.0"/>
        <n v="192.0"/>
        <n v="7173.0"/>
        <n v="936.0"/>
        <n v="1013.0"/>
        <n v="2431.0"/>
        <n v="3309.0"/>
        <n v="169.0"/>
        <n v="692.0"/>
        <n v="1542.0"/>
        <n v="599.0"/>
        <n v="3062.0"/>
        <n v="1454.0"/>
        <n v="629.0"/>
        <n v="6841.0"/>
        <n v="2851.0"/>
        <n v="1217.0"/>
        <n v="2762.0"/>
        <n v="1870.0"/>
        <n v="1364.0"/>
        <n v="3408.0"/>
        <n v="1555.0"/>
        <n v="266.0"/>
        <n v="319.0"/>
        <n v="4857.0"/>
        <n v="431.0"/>
        <n v="6517.0"/>
        <n v="1620.0"/>
        <n v="393.0"/>
        <n v="3452.0"/>
        <n v="1784.0"/>
        <n v="677.0"/>
        <n v="3256.0"/>
        <n v="3179.0"/>
        <n v="406.0"/>
        <n v="8169.0"/>
        <n v="1752.0"/>
        <n v="-151.0"/>
        <n v="3437.0"/>
        <n v="925.0"/>
        <n v="796.0"/>
        <n v="189.0"/>
        <n v="3765.0"/>
        <n v="240.0"/>
        <n v="2604.0"/>
        <n v="368.0"/>
        <n v="845.0"/>
        <n v="3914.0"/>
        <n v="1090.0"/>
        <n v="889.0"/>
        <n v="3409.0"/>
        <n v="1816.0"/>
        <n v="681.0"/>
        <n v="2282.0"/>
        <n v="3337.0"/>
        <n v="1553.0"/>
        <n v="7461.0"/>
        <n v="871.0"/>
        <n v="-140.0"/>
        <n v="2589.0"/>
        <n v="901.0"/>
        <n v="-46.0"/>
        <n v="152.0"/>
        <n v="3506.0"/>
        <n v="963.0"/>
        <n v="2633.0"/>
        <n v="788.0"/>
        <n v="372.0"/>
        <n v="3044.0"/>
        <n v="1738.0"/>
        <n v="3697.0"/>
        <n v="516.0"/>
        <n v="6612.0"/>
        <n v="579.0"/>
        <n v="913.0"/>
        <n v="2701.0"/>
        <n v="3238.0"/>
        <n v="139.0"/>
        <n v="633.0"/>
        <n v="826.0"/>
        <n v="1329.0"/>
        <n v="2993.0"/>
        <n v="718.0"/>
        <n v="185.0"/>
        <n v="7216.0"/>
        <n v="3197.0"/>
        <n v="1968.0"/>
        <n v="3273.0"/>
        <n v="1372.0"/>
        <n v="860.0"/>
        <n v="4147.0"/>
        <n v="1900.0"/>
        <n v="931.0"/>
        <n v="-35.0"/>
        <n v="5060.0"/>
        <n v="1112.0"/>
        <n v="5976.0"/>
        <n v="1970.0"/>
        <n v="444.0"/>
        <n v="3862.0"/>
        <n v="1065.0"/>
        <n v="271.0"/>
        <n v="4033.0"/>
        <n v="3380.0"/>
        <n v="1003.0"/>
        <n v="8095.0"/>
        <n v="2274.0"/>
        <n v="-596.0"/>
        <n v="2885.0"/>
        <n v="1062.0"/>
        <n v="1449.0"/>
        <n v="842.0"/>
        <n v="4369.0"/>
        <n v="-71.0"/>
        <n v="2046.0"/>
        <n v="513.0"/>
        <n v="293.0"/>
        <n v="310.0"/>
        <n v="1027.0"/>
        <n v="4144.0"/>
        <n v="1506.0"/>
        <n v="1427.0"/>
        <n v="2052.0"/>
        <n v="4041.0"/>
        <n v="875.0"/>
        <n v="6861.0"/>
      </sharedItems>
    </cacheField>
    <cacheField name="Profit_Margin" numFmtId="10">
      <sharedItems containsSemiMixedTypes="0" containsString="0" containsNumber="1">
        <n v="0.14545454545454545"/>
        <n v="0.17142857142857143"/>
        <n v="0.26666666666666666"/>
        <n v="0.12727272727272726"/>
        <n v="0.16666666666666666"/>
        <n v="0.24"/>
        <n v="0.14666666666666667"/>
        <n v="0.13333333333333333"/>
        <n v="0.22857142857142856"/>
        <n v="0.2"/>
        <n v="0.25"/>
        <n v="0.14761904761904762"/>
        <n v="0.14736842105263157"/>
        <n v="0.28125"/>
        <n v="0.13076923076923078"/>
        <n v="0.125"/>
        <n v="0.15714285714285714"/>
        <n v="0.16923076923076924"/>
        <n v="0.2236842105263158"/>
        <n v="0.14347826086956522"/>
        <n v="0.16"/>
        <n v="0.2222222222222222"/>
        <n v="0.19642857142857142"/>
        <n v="0.13125"/>
        <n v="0.2647058823529412"/>
        <n v="0.12962962962962962"/>
        <n v="0.17647058823529413"/>
        <n v="0.24074074074074073"/>
        <n v="0.15454545454545454"/>
        <n v="0.15625"/>
        <n v="0.13"/>
        <n v="0.225"/>
        <n v="0.13448275862068965"/>
        <n v="0.17333333333333334"/>
        <n v="0.15789473684210525"/>
        <n v="0.1896551724137931"/>
        <n v="0.12903225806451613"/>
        <n v="0.20454545454545456"/>
        <n v="0.15483870967741936"/>
        <n v="0.21428571428571427"/>
        <n v="0.13490847169008088"/>
        <n v="0.13318165908295415"/>
        <n v="0.07933884297520662"/>
        <n v="0.13727178780571822"/>
        <n v="0.1235480464625132"/>
        <n v="0.3037481259370315"/>
        <n v="0.17948907265209688"/>
        <n v="0.10840294840294841"/>
        <n v="0.039971617786187325"/>
        <n v="0.14333057166528584"/>
        <n v="0.18132643461900283"/>
        <n v="-1.8487654320987654"/>
        <n v="0.14334534900051496"/>
        <n v="0.13491695276978752"/>
        <n v="0.2041544952937358"/>
        <n v="0.12491326735565862"/>
        <n v="0.10090963791455775"/>
        <n v="-8.167785234899329"/>
        <n v="0.2475797776980997"/>
        <n v="0.23983583429524177"/>
        <n v="0.3640245529757139"/>
        <n v="0.16808048924837246"/>
        <n v="0.20080061983471073"/>
        <n v="0.08639168561221176"/>
        <n v="0.08251422659079151"/>
        <n v="0.14238391181988744"/>
        <n v="0.16004455997029335"/>
        <n v="0.11444577128406856"/>
        <n v="0.4017857142857143"/>
        <n v="5.038461538461538"/>
        <n v="0.17661806088513687"/>
        <n v="0.21225461035098156"/>
        <n v="-1.7722513089005236"/>
        <n v="0.22702551945335378"/>
        <n v="0.10406573261751997"/>
        <n v="0.058960209119953526"/>
        <n v="0.1375044185224461"/>
        <n v="0.18772099003535841"/>
        <n v="-0.038510584034685026"/>
        <n v="0.15172383348783824"/>
        <n v="0.12902775840424047"/>
        <n v="0.15926370548219287"/>
        <n v="0.05409273039496279"/>
        <n v="0.13137234376635612"/>
        <n v="0.06958538706871557"/>
        <n v="0.15425626443931048"/>
        <n v="0.06253186066270179"/>
        <n v="-1.0988296488946685"/>
        <n v="0.16717208388502114"/>
        <n v="0.11399288851704664"/>
        <n v="0.1893503727369542"/>
        <n v="0.16637384089799903"/>
        <n v="0.14049203156428902"/>
        <n v="1.404123711340206"/>
        <n v="0.1715402540780275"/>
        <n v="0.11028852827444889"/>
        <n v="0.6871681415929204"/>
        <n v="0.12769999657686645"/>
        <n v="0.10427391356398899"/>
        <n v="0.37333333333333335"/>
        <n v="0.12647777234978017"/>
        <n v="0.09188252090556802"/>
        <n v="-0.012816940651992199"/>
        <n v="0.029768899334116725"/>
        <n v="0.12462232964845556"/>
        <n v="1.2571801566579635"/>
        <n v="0.17348619621796138"/>
        <n v="0.10080593578099015"/>
        <n v="0.4175084175084175"/>
        <n v="0.13102053114104936"/>
        <n v="0.1446886446886447"/>
        <n v="0.1623271130625686"/>
        <n v="0.15380029806259315"/>
        <n v="0.247214197276104"/>
        <n v="0.12944147530392905"/>
        <n v="0.05532199503153067"/>
        <n v="0.16277411303262615"/>
        <n v="0.1707872273158394"/>
        <n v="0.10709796917377787"/>
        <n v="0.01944055944055944"/>
        <n v="0.10857632933104631"/>
        <n v="0.07527567666089492"/>
        <n v="-0.5636132315521628"/>
        <n v="0.14840341134470447"/>
        <n v="0.08299618541209108"/>
        <n v="0.0583596214511041"/>
        <n v="0.1383515156163123"/>
        <n v="0.1035532666083633"/>
        <n v="-0.6427171783148269"/>
        <n v="0.2475981541720251"/>
        <n v="0.12982588947766843"/>
        <n v="0.29381619405534676"/>
        <n v="0.2229689768267111"/>
        <n v="0.32843560933448573"/>
        <n v="0.2802528597230584"/>
        <n v="-0.011422976501305483"/>
        <n v="0.14231072111598606"/>
        <n v="1.0859375"/>
        <n v="0.10948864989648413"/>
        <n v="0.42148053059477963"/>
        <n v="-0.18797629127857748"/>
        <n v="0.18846379074760883"/>
        <n v="0.09423944783647464"/>
        <n v="-0.1578334304018637"/>
        <n v="0.28784526443508673"/>
        <n v="0.10943115226470683"/>
        <n v="0.1054235862938827"/>
        <n v="0.13854184494266644"/>
        <n v="0.3472285845167201"/>
        <n v="-0.08661531754105507"/>
        <n v="0.1352618500632941"/>
        <n v="0.11688311688311688"/>
        <n v="0.2415"/>
        <n v="0.159802619092807"/>
        <n v="0.16150377051604317"/>
        <n v="-0.016973464021037533"/>
        <n v="0.13880597014925372"/>
        <n v="0.07130942452043369"/>
        <n v="0.23272438443208895"/>
        <n v="0.12522768670309653"/>
        <n v="0.0256941566514712"/>
        <n v="0.13963290278721957"/>
        <n v="0.18158713465667586"/>
        <n v="0.109360249800305"/>
        <n v="1.0968485780169102"/>
        <n v="0.13208883167042162"/>
        <n v="0.13778641571194764"/>
        <n v="-19.886363636363637"/>
        <n v="0.11228213730463955"/>
      </sharedItems>
    </cacheField>
    <cacheField name="Status" numFmtId="0">
      <sharedItems>
        <s v="VALID"/>
        <s v="INVALID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Analysis" cacheId="0" dataCaption="" compact="0" compactData="0">
  <location ref="B5:C9" firstHeaderRow="0" firstDataRow="1" firstDataCol="0" rowPageCount="1" colPageCount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 Month" axis="axisRow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ustomer_Type" compact="0" outline="0" multipleItemSelectionAllowed="1" showAll="0">
      <items>
        <item x="0"/>
        <item x="1"/>
        <item x="2"/>
        <item t="default"/>
      </items>
    </pivotField>
    <pivotField name="Sal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Quantity" compact="0" numFmtId="3" outline="0" multipleItemSelectionAllowed="1" showAll="0">
      <items>
        <item x="0"/>
        <item x="1"/>
        <item x="2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rof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Profit_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Status" axis="axisPage" compact="0" outline="0" multipleItemSelectionAllowed="1" showAll="0">
      <items>
        <item x="0"/>
        <item h="1" x="1"/>
        <item t="default"/>
      </items>
    </pivotField>
  </pivotFields>
  <rowFields>
    <field x="1"/>
  </rowFields>
  <pageFields>
    <pageField fld="12"/>
  </pageFields>
  <dataFields>
    <dataField name="Total Sales" fld="7" baseField="0"/>
  </dataFields>
</pivotTableDefinition>
</file>

<file path=xl/pivotTables/pivotTable2.xml><?xml version="1.0" encoding="utf-8"?>
<pivotTableDefinition xmlns="http://schemas.openxmlformats.org/spreadsheetml/2006/main" name="Analysis 2" cacheId="1" dataCaption="" compact="0" compactData="0">
  <location ref="F5:G10" firstHeaderRow="0" firstDataRow="1" firstDataCol="0" rowPageCount="1" colPageCount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Region" axis="axisRow" compact="0" outline="0" multipleItemSelectionAllowed="1" showAll="0" sortType="de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ustomer_Type" compact="0" outline="0" multipleItemSelectionAllowed="1" showAll="0">
      <items>
        <item x="0"/>
        <item x="1"/>
        <item x="2"/>
        <item t="default"/>
      </items>
    </pivotField>
    <pivotField name="Sal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Quantity" compact="0" numFmtId="3" outline="0" multipleItemSelectionAllowed="1" showAll="0">
      <items>
        <item x="0"/>
        <item x="1"/>
        <item x="2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rof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Profit_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Status" axis="axisPage" compact="0" outline="0" multipleItemSelectionAllowed="1" showAll="0">
      <items>
        <item x="0"/>
        <item h="1" x="1"/>
        <item t="default"/>
      </items>
    </pivotField>
  </pivotFields>
  <rowFields>
    <field x="2"/>
  </rowFields>
  <pageFields>
    <pageField fld="12"/>
  </pageFields>
  <dataFields>
    <dataField name="Sales " fld="7" baseField="0"/>
  </dataFields>
</pivotTableDefinition>
</file>

<file path=xl/pivotTables/pivotTable3.xml><?xml version="1.0" encoding="utf-8"?>
<pivotTableDefinition xmlns="http://schemas.openxmlformats.org/spreadsheetml/2006/main" name="Analysis 3" cacheId="1" dataCaption="" compact="0" compactData="0">
  <location ref="J5:K9" firstHeaderRow="0" firstDataRow="1" firstDataCol="0" rowPageCount="1" colPageCount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ategory" axis="axisRow" compact="0" outline="0" multipleItemSelectionAllowed="1" showAll="0" sortType="ascending">
      <items>
        <item x="2"/>
        <item x="0"/>
        <item x="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ustomer_Type" compact="0" outline="0" multipleItemSelectionAllowed="1" showAll="0">
      <items>
        <item x="0"/>
        <item x="1"/>
        <item x="2"/>
        <item t="default"/>
      </items>
    </pivotField>
    <pivotField name="Sales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Quantity" compact="0" numFmtId="3" outline="0" multipleItemSelectionAllowed="1" showAll="0">
      <items>
        <item x="0"/>
        <item x="1"/>
        <item x="2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rof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Profit_Margin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Status" axis="axisPage" compact="0" outline="0" multipleItemSelectionAllowed="1" showAll="0">
      <items>
        <item x="0"/>
        <item h="1" x="1"/>
        <item t="default"/>
      </items>
    </pivotField>
  </pivotFields>
  <rowFields>
    <field x="4"/>
  </rowFields>
  <pageFields>
    <pageField fld="12"/>
  </pageFields>
  <dataFields>
    <dataField name="Average Margin %" fld="11" subtotal="average" baseField="0"/>
  </dataFields>
</pivotTableDefinition>
</file>

<file path=xl/tables/table1.xml><?xml version="1.0" encoding="utf-8"?>
<table xmlns="http://schemas.openxmlformats.org/spreadsheetml/2006/main" totalsRowCount="1" ref="B5:C9" displayName="Table_1" name="Table_1" id="1">
  <tableColumns count="2">
    <tableColumn totalsRowLabel="Grand Total" name=" Month" id="1"/>
    <tableColumn totalsRowLabel="₹2,831,548.00" name="Total Sales" id="2"/>
  </tableColumns>
  <tableStyleInfo name="Analysis-style" showColumnStripes="0" showFirstColumn="1" showLastColumn="1" showRowStripes="1"/>
</table>
</file>

<file path=xl/tables/table2.xml><?xml version="1.0" encoding="utf-8"?>
<table xmlns="http://schemas.openxmlformats.org/spreadsheetml/2006/main" totalsRowCount="1" ref="F5:G10" displayName="Table_2" name="Table_2" id="2">
  <tableColumns count="2">
    <tableColumn totalsRowLabel="Grand Total" name="Region" id="1"/>
    <tableColumn totalsRowLabel="₹2,831,548.00" name="Sales " id="2"/>
  </tableColumns>
  <tableStyleInfo name="Analysis-style 2" showColumnStripes="0" showFirstColumn="1" showLastColumn="1" showRowStripes="1"/>
</table>
</file>

<file path=xl/tables/table3.xml><?xml version="1.0" encoding="utf-8"?>
<table xmlns="http://schemas.openxmlformats.org/spreadsheetml/2006/main" totalsRowCount="1" ref="J5:K9" displayName="Table_3" name="Table_3" id="3">
  <tableColumns count="2">
    <tableColumn totalsRowLabel="Grand Total" name="Category" id="1"/>
    <tableColumn totalsRowLabel="21.58%" name="Average Margin %" id="2"/>
  </tableColumns>
  <tableStyleInfo name="Analysis-style 3" showColumnStripes="0" showFirstColumn="1" showLastColumn="1" showRowStripes="1"/>
</table>
</file>

<file path=xl/tables/table4.xml><?xml version="1.0" encoding="utf-8"?>
<table xmlns="http://schemas.openxmlformats.org/spreadsheetml/2006/main" totalsRowCount="1" headerRowCount="0" ref="K15:N20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Analysis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totalsRowCount="1" headerRowCount="0" ref="Q18:R23" displayName="Table_5" name="Table_5" id="5">
  <tableColumns count="2">
    <tableColumn name="Column1" id="1"/>
    <tableColumn name="Column2" id="2"/>
  </tableColumns>
  <tableStyleInfo name="Analysis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3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4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1001.0</v>
      </c>
      <c r="B2" s="2">
        <v>45009.0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22000.0</v>
      </c>
      <c r="I2" s="1">
        <v>1.0</v>
      </c>
      <c r="J2" s="1">
        <v>0.08</v>
      </c>
      <c r="K2" s="1">
        <v>3200.0</v>
      </c>
    </row>
    <row r="3">
      <c r="A3" s="1">
        <v>1002.0</v>
      </c>
      <c r="B3" s="2">
        <v>44998.0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>
        <v>7000.0</v>
      </c>
      <c r="I3" s="1">
        <v>1.0</v>
      </c>
      <c r="J3" s="1">
        <v>0.15</v>
      </c>
      <c r="K3" s="1">
        <v>1200.0</v>
      </c>
    </row>
    <row r="4">
      <c r="A4" s="1">
        <v>1003.0</v>
      </c>
      <c r="B4" s="2">
        <v>44969.0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15</v>
      </c>
      <c r="H4" s="1">
        <v>1500.0</v>
      </c>
      <c r="I4" s="1">
        <v>3.0</v>
      </c>
      <c r="J4" s="1">
        <v>0.05</v>
      </c>
      <c r="K4" s="1">
        <v>400.0</v>
      </c>
    </row>
    <row r="5">
      <c r="A5" s="1">
        <v>1004.0</v>
      </c>
      <c r="B5" s="2">
        <v>44970.0</v>
      </c>
      <c r="C5" s="1" t="s">
        <v>25</v>
      </c>
      <c r="D5" s="1" t="s">
        <v>26</v>
      </c>
      <c r="E5" s="1" t="s">
        <v>13</v>
      </c>
      <c r="F5" s="1" t="s">
        <v>27</v>
      </c>
      <c r="G5" s="1" t="s">
        <v>28</v>
      </c>
      <c r="H5" s="1">
        <v>55000.0</v>
      </c>
      <c r="I5" s="1">
        <v>1.0</v>
      </c>
      <c r="J5" s="1">
        <v>0.06</v>
      </c>
      <c r="K5" s="1">
        <v>7000.0</v>
      </c>
    </row>
    <row r="6">
      <c r="A6" s="1">
        <v>1005.0</v>
      </c>
      <c r="B6" s="2">
        <v>44986.0</v>
      </c>
      <c r="C6" s="1" t="s">
        <v>11</v>
      </c>
      <c r="D6" s="1" t="s">
        <v>29</v>
      </c>
      <c r="E6" s="1" t="s">
        <v>18</v>
      </c>
      <c r="F6" s="1" t="s">
        <v>30</v>
      </c>
      <c r="G6" s="1" t="s">
        <v>15</v>
      </c>
      <c r="H6" s="1">
        <v>9000.0</v>
      </c>
      <c r="I6" s="1">
        <v>1.0</v>
      </c>
      <c r="J6" s="1">
        <v>0.12</v>
      </c>
      <c r="K6" s="1">
        <v>1500.0</v>
      </c>
    </row>
    <row r="7">
      <c r="A7" s="1">
        <v>1006.0</v>
      </c>
      <c r="B7" s="2">
        <v>44960.0</v>
      </c>
      <c r="C7" s="1" t="s">
        <v>16</v>
      </c>
      <c r="D7" s="1" t="s">
        <v>31</v>
      </c>
      <c r="E7" s="1" t="s">
        <v>23</v>
      </c>
      <c r="F7" s="1" t="s">
        <v>32</v>
      </c>
      <c r="G7" s="1" t="s">
        <v>20</v>
      </c>
      <c r="H7" s="1">
        <v>2500.0</v>
      </c>
      <c r="I7" s="1">
        <v>2.0</v>
      </c>
      <c r="J7" s="1">
        <v>0.1</v>
      </c>
      <c r="K7" s="1">
        <v>600.0</v>
      </c>
    </row>
    <row r="8">
      <c r="A8" s="1">
        <v>1007.0</v>
      </c>
      <c r="B8" s="2">
        <v>44929.0</v>
      </c>
      <c r="C8" s="1" t="s">
        <v>21</v>
      </c>
      <c r="D8" s="1" t="s">
        <v>33</v>
      </c>
      <c r="E8" s="1" t="s">
        <v>13</v>
      </c>
      <c r="F8" s="1" t="s">
        <v>34</v>
      </c>
      <c r="G8" s="1" t="s">
        <v>15</v>
      </c>
      <c r="H8" s="1">
        <v>15000.0</v>
      </c>
      <c r="I8" s="1">
        <v>1.0</v>
      </c>
      <c r="J8" s="1">
        <v>0.07</v>
      </c>
      <c r="K8" s="1">
        <v>2200.0</v>
      </c>
    </row>
    <row r="9">
      <c r="A9" s="1">
        <v>1008.0</v>
      </c>
      <c r="B9" s="2">
        <v>44946.0</v>
      </c>
      <c r="C9" s="1" t="s">
        <v>25</v>
      </c>
      <c r="D9" s="1" t="s">
        <v>35</v>
      </c>
      <c r="E9" s="1" t="s">
        <v>18</v>
      </c>
      <c r="F9" s="1" t="s">
        <v>36</v>
      </c>
      <c r="G9" s="1" t="s">
        <v>28</v>
      </c>
      <c r="H9" s="1">
        <v>30000.0</v>
      </c>
      <c r="I9" s="1">
        <v>1.0</v>
      </c>
      <c r="J9" s="1">
        <v>0.18</v>
      </c>
      <c r="K9" s="1">
        <v>4000.0</v>
      </c>
    </row>
    <row r="10">
      <c r="A10" s="1">
        <v>1009.0</v>
      </c>
      <c r="B10" s="2">
        <v>44958.0</v>
      </c>
      <c r="C10" s="1" t="s">
        <v>11</v>
      </c>
      <c r="D10" s="1" t="s">
        <v>12</v>
      </c>
      <c r="E10" s="1" t="s">
        <v>23</v>
      </c>
      <c r="F10" s="1" t="s">
        <v>37</v>
      </c>
      <c r="G10" s="1" t="s">
        <v>15</v>
      </c>
      <c r="H10" s="1">
        <v>3500.0</v>
      </c>
      <c r="I10" s="1">
        <v>1.0</v>
      </c>
      <c r="J10" s="1">
        <v>0.1</v>
      </c>
      <c r="K10" s="1">
        <v>800.0</v>
      </c>
    </row>
    <row r="11">
      <c r="A11" s="1">
        <v>1010.0</v>
      </c>
      <c r="B11" s="2">
        <v>44984.0</v>
      </c>
      <c r="C11" s="1" t="s">
        <v>16</v>
      </c>
      <c r="D11" s="1" t="s">
        <v>17</v>
      </c>
      <c r="E11" s="1" t="s">
        <v>13</v>
      </c>
      <c r="F11" s="1" t="s">
        <v>38</v>
      </c>
      <c r="G11" s="1" t="s">
        <v>20</v>
      </c>
      <c r="H11" s="1">
        <v>3000.0</v>
      </c>
      <c r="I11" s="1">
        <v>2.0</v>
      </c>
      <c r="J11" s="1">
        <v>0.08</v>
      </c>
      <c r="K11" s="1">
        <v>600.0</v>
      </c>
    </row>
    <row r="12">
      <c r="A12" s="1">
        <v>1011.0</v>
      </c>
      <c r="B12" s="2">
        <v>44948.0</v>
      </c>
      <c r="C12" s="1" t="s">
        <v>21</v>
      </c>
      <c r="D12" s="1" t="s">
        <v>22</v>
      </c>
      <c r="E12" s="1" t="s">
        <v>18</v>
      </c>
      <c r="F12" s="1" t="s">
        <v>19</v>
      </c>
      <c r="G12" s="1" t="s">
        <v>15</v>
      </c>
      <c r="H12" s="1">
        <v>6000.0</v>
      </c>
      <c r="I12" s="1">
        <v>1.0</v>
      </c>
      <c r="J12" s="1">
        <v>0.1</v>
      </c>
      <c r="K12" s="1">
        <v>1000.0</v>
      </c>
    </row>
    <row r="13">
      <c r="A13" s="1">
        <v>1012.0</v>
      </c>
      <c r="B13" s="2">
        <v>44934.0</v>
      </c>
      <c r="C13" s="1" t="s">
        <v>25</v>
      </c>
      <c r="D13" s="1" t="s">
        <v>26</v>
      </c>
      <c r="E13" s="1" t="s">
        <v>23</v>
      </c>
      <c r="F13" s="1" t="s">
        <v>39</v>
      </c>
      <c r="G13" s="1" t="s">
        <v>28</v>
      </c>
      <c r="H13" s="1">
        <v>1200.0</v>
      </c>
      <c r="I13" s="1">
        <v>2.0</v>
      </c>
      <c r="J13" s="1">
        <v>0.05</v>
      </c>
      <c r="K13" s="1">
        <v>300.0</v>
      </c>
    </row>
    <row r="14">
      <c r="A14" s="1">
        <v>1013.0</v>
      </c>
      <c r="B14" s="2">
        <v>44992.0</v>
      </c>
      <c r="C14" s="1" t="s">
        <v>11</v>
      </c>
      <c r="D14" s="1" t="s">
        <v>29</v>
      </c>
      <c r="E14" s="1" t="s">
        <v>13</v>
      </c>
      <c r="F14" s="1" t="s">
        <v>14</v>
      </c>
      <c r="G14" s="1" t="s">
        <v>15</v>
      </c>
      <c r="H14" s="1">
        <v>21000.0</v>
      </c>
      <c r="I14" s="1">
        <v>1.0</v>
      </c>
      <c r="J14" s="1">
        <v>0.09</v>
      </c>
      <c r="K14" s="1">
        <v>3100.0</v>
      </c>
    </row>
    <row r="15">
      <c r="A15" s="1">
        <v>1014.0</v>
      </c>
      <c r="B15" s="2">
        <v>44941.0</v>
      </c>
      <c r="C15" s="1" t="s">
        <v>16</v>
      </c>
      <c r="D15" s="1" t="s">
        <v>17</v>
      </c>
      <c r="E15" s="1" t="s">
        <v>18</v>
      </c>
      <c r="F15" s="1" t="s">
        <v>30</v>
      </c>
      <c r="G15" s="1" t="s">
        <v>20</v>
      </c>
      <c r="H15" s="1">
        <v>9500.0</v>
      </c>
      <c r="I15" s="1">
        <v>1.0</v>
      </c>
      <c r="J15" s="1">
        <v>0.15</v>
      </c>
      <c r="K15" s="1">
        <v>1400.0</v>
      </c>
    </row>
    <row r="16">
      <c r="A16" s="1">
        <v>1015.0</v>
      </c>
      <c r="B16" s="2">
        <v>44977.0</v>
      </c>
      <c r="C16" s="1" t="s">
        <v>21</v>
      </c>
      <c r="D16" s="1" t="s">
        <v>33</v>
      </c>
      <c r="E16" s="1" t="s">
        <v>23</v>
      </c>
      <c r="F16" s="1" t="s">
        <v>24</v>
      </c>
      <c r="G16" s="1" t="s">
        <v>15</v>
      </c>
      <c r="H16" s="1">
        <v>1600.0</v>
      </c>
      <c r="I16" s="1">
        <v>3.0</v>
      </c>
      <c r="J16" s="1">
        <v>0.05</v>
      </c>
      <c r="K16" s="1">
        <v>450.0</v>
      </c>
    </row>
    <row r="17">
      <c r="A17" s="1">
        <v>1016.0</v>
      </c>
      <c r="B17" s="2">
        <v>44994.0</v>
      </c>
      <c r="C17" s="1" t="s">
        <v>25</v>
      </c>
      <c r="D17" s="1" t="s">
        <v>26</v>
      </c>
      <c r="E17" s="1" t="s">
        <v>13</v>
      </c>
      <c r="F17" s="1" t="s">
        <v>27</v>
      </c>
      <c r="G17" s="1" t="s">
        <v>28</v>
      </c>
      <c r="H17" s="1">
        <v>52000.0</v>
      </c>
      <c r="I17" s="1">
        <v>1.0</v>
      </c>
      <c r="J17" s="1">
        <v>0.06</v>
      </c>
      <c r="K17" s="1">
        <v>6800.0</v>
      </c>
    </row>
    <row r="18">
      <c r="A18" s="1">
        <v>1017.0</v>
      </c>
      <c r="B18" s="2">
        <v>44959.0</v>
      </c>
      <c r="C18" s="1" t="s">
        <v>11</v>
      </c>
      <c r="D18" s="1" t="s">
        <v>12</v>
      </c>
      <c r="E18" s="1" t="s">
        <v>18</v>
      </c>
      <c r="F18" s="1" t="s">
        <v>36</v>
      </c>
      <c r="G18" s="1" t="s">
        <v>15</v>
      </c>
      <c r="H18" s="1">
        <v>28000.0</v>
      </c>
      <c r="I18" s="1">
        <v>1.0</v>
      </c>
      <c r="J18" s="1">
        <v>0.17</v>
      </c>
      <c r="K18" s="1">
        <v>3500.0</v>
      </c>
    </row>
    <row r="19">
      <c r="A19" s="1">
        <v>1018.0</v>
      </c>
      <c r="B19" s="2">
        <v>44954.0</v>
      </c>
      <c r="C19" s="1" t="s">
        <v>16</v>
      </c>
      <c r="D19" s="1" t="s">
        <v>17</v>
      </c>
      <c r="E19" s="1" t="s">
        <v>23</v>
      </c>
      <c r="F19" s="1" t="s">
        <v>32</v>
      </c>
      <c r="G19" s="1" t="s">
        <v>20</v>
      </c>
      <c r="H19" s="1">
        <v>2600.0</v>
      </c>
      <c r="I19" s="1">
        <v>2.0</v>
      </c>
      <c r="J19" s="1">
        <v>0.1</v>
      </c>
      <c r="K19" s="1">
        <v>650.0</v>
      </c>
    </row>
    <row r="20">
      <c r="A20" s="1">
        <v>1019.0</v>
      </c>
      <c r="B20" s="2">
        <v>44997.0</v>
      </c>
      <c r="C20" s="1" t="s">
        <v>21</v>
      </c>
      <c r="D20" s="1" t="s">
        <v>22</v>
      </c>
      <c r="E20" s="1" t="s">
        <v>13</v>
      </c>
      <c r="F20" s="1" t="s">
        <v>34</v>
      </c>
      <c r="G20" s="1" t="s">
        <v>15</v>
      </c>
      <c r="H20" s="1">
        <v>14000.0</v>
      </c>
      <c r="I20" s="1">
        <v>1.0</v>
      </c>
      <c r="J20" s="1">
        <v>0.07</v>
      </c>
      <c r="K20" s="1">
        <v>2200.0</v>
      </c>
    </row>
    <row r="21">
      <c r="A21" s="1">
        <v>1020.0</v>
      </c>
      <c r="B21" s="2">
        <v>45009.0</v>
      </c>
      <c r="C21" s="1" t="s">
        <v>25</v>
      </c>
      <c r="D21" s="1" t="s">
        <v>26</v>
      </c>
      <c r="E21" s="1" t="s">
        <v>18</v>
      </c>
      <c r="F21" s="1" t="s">
        <v>19</v>
      </c>
      <c r="G21" s="1" t="s">
        <v>28</v>
      </c>
      <c r="H21" s="1">
        <v>6500.0</v>
      </c>
      <c r="I21" s="1">
        <v>1.0</v>
      </c>
      <c r="J21" s="1">
        <v>0.12</v>
      </c>
      <c r="K21" s="1">
        <v>1100.0</v>
      </c>
    </row>
    <row r="22">
      <c r="A22" s="1">
        <v>1021.0</v>
      </c>
      <c r="B22" s="2">
        <v>44980.0</v>
      </c>
      <c r="C22" s="1" t="s">
        <v>11</v>
      </c>
      <c r="D22" s="1" t="s">
        <v>29</v>
      </c>
      <c r="E22" s="1" t="s">
        <v>23</v>
      </c>
      <c r="F22" s="1" t="s">
        <v>37</v>
      </c>
      <c r="G22" s="1" t="s">
        <v>15</v>
      </c>
      <c r="H22" s="1">
        <v>3800.0</v>
      </c>
      <c r="I22" s="1">
        <v>1.0</v>
      </c>
      <c r="J22" s="1">
        <v>0.09</v>
      </c>
      <c r="K22" s="1">
        <v>850.0</v>
      </c>
    </row>
    <row r="23">
      <c r="A23" s="1">
        <v>1022.0</v>
      </c>
      <c r="B23" s="2">
        <v>44951.0</v>
      </c>
      <c r="C23" s="1" t="s">
        <v>16</v>
      </c>
      <c r="D23" s="1" t="s">
        <v>31</v>
      </c>
      <c r="E23" s="1" t="s">
        <v>13</v>
      </c>
      <c r="F23" s="1" t="s">
        <v>14</v>
      </c>
      <c r="G23" s="1" t="s">
        <v>20</v>
      </c>
      <c r="H23" s="1">
        <v>23000.0</v>
      </c>
      <c r="I23" s="1">
        <v>1.0</v>
      </c>
      <c r="J23" s="1">
        <v>0.08</v>
      </c>
      <c r="K23" s="1">
        <v>3300.0</v>
      </c>
    </row>
    <row r="24">
      <c r="A24" s="1">
        <v>1023.0</v>
      </c>
      <c r="B24" s="2">
        <v>44983.0</v>
      </c>
      <c r="C24" s="1" t="s">
        <v>21</v>
      </c>
      <c r="D24" s="1" t="s">
        <v>40</v>
      </c>
      <c r="E24" s="1" t="s">
        <v>18</v>
      </c>
      <c r="F24" s="1" t="s">
        <v>30</v>
      </c>
      <c r="G24" s="1" t="s">
        <v>15</v>
      </c>
      <c r="H24" s="1">
        <v>10000.0</v>
      </c>
      <c r="I24" s="1">
        <v>1.0</v>
      </c>
      <c r="J24" s="1">
        <v>0.13</v>
      </c>
      <c r="K24" s="1">
        <v>1600.0</v>
      </c>
    </row>
    <row r="25">
      <c r="A25" s="1">
        <v>1024.0</v>
      </c>
      <c r="B25" s="2">
        <v>44998.0</v>
      </c>
      <c r="C25" s="1" t="s">
        <v>25</v>
      </c>
      <c r="D25" s="1" t="s">
        <v>35</v>
      </c>
      <c r="E25" s="1" t="s">
        <v>23</v>
      </c>
      <c r="F25" s="1" t="s">
        <v>39</v>
      </c>
      <c r="G25" s="1" t="s">
        <v>28</v>
      </c>
      <c r="H25" s="1">
        <v>1800.0</v>
      </c>
      <c r="I25" s="1">
        <v>2.0</v>
      </c>
      <c r="J25" s="1">
        <v>0.05</v>
      </c>
      <c r="K25" s="1">
        <v>400.0</v>
      </c>
    </row>
    <row r="26">
      <c r="A26" s="1">
        <v>1025.0</v>
      </c>
      <c r="B26" s="2">
        <v>44985.0</v>
      </c>
      <c r="C26" s="1" t="s">
        <v>11</v>
      </c>
      <c r="D26" s="1" t="s">
        <v>41</v>
      </c>
      <c r="E26" s="1" t="s">
        <v>13</v>
      </c>
      <c r="F26" s="1" t="s">
        <v>38</v>
      </c>
      <c r="G26" s="1" t="s">
        <v>15</v>
      </c>
      <c r="H26" s="1">
        <v>2800.0</v>
      </c>
      <c r="I26" s="1">
        <v>2.0</v>
      </c>
      <c r="J26" s="1">
        <v>0.07</v>
      </c>
      <c r="K26" s="1">
        <v>550.0</v>
      </c>
    </row>
    <row r="27">
      <c r="A27" s="1">
        <v>1026.0</v>
      </c>
      <c r="B27" s="2">
        <v>44946.0</v>
      </c>
      <c r="C27" s="1" t="s">
        <v>16</v>
      </c>
      <c r="D27" s="1" t="s">
        <v>17</v>
      </c>
      <c r="E27" s="1" t="s">
        <v>18</v>
      </c>
      <c r="F27" s="1" t="s">
        <v>36</v>
      </c>
      <c r="G27" s="1" t="s">
        <v>20</v>
      </c>
      <c r="H27" s="1">
        <v>32000.0</v>
      </c>
      <c r="I27" s="1">
        <v>1.0</v>
      </c>
      <c r="J27" s="1">
        <v>0.18</v>
      </c>
      <c r="K27" s="1">
        <v>4200.0</v>
      </c>
    </row>
    <row r="28">
      <c r="A28" s="1">
        <v>1027.0</v>
      </c>
      <c r="B28" s="2">
        <v>44929.0</v>
      </c>
      <c r="C28" s="1" t="s">
        <v>21</v>
      </c>
      <c r="D28" s="1" t="s">
        <v>33</v>
      </c>
      <c r="E28" s="1" t="s">
        <v>23</v>
      </c>
      <c r="F28" s="1" t="s">
        <v>24</v>
      </c>
      <c r="G28" s="1" t="s">
        <v>15</v>
      </c>
      <c r="H28" s="1">
        <v>1700.0</v>
      </c>
      <c r="I28" s="1">
        <v>3.0</v>
      </c>
      <c r="J28" s="1">
        <v>0.05</v>
      </c>
      <c r="K28" s="1">
        <v>450.0</v>
      </c>
    </row>
    <row r="29">
      <c r="A29" s="1">
        <v>1028.0</v>
      </c>
      <c r="B29" s="2">
        <v>44957.0</v>
      </c>
      <c r="C29" s="1" t="s">
        <v>25</v>
      </c>
      <c r="D29" s="1" t="s">
        <v>26</v>
      </c>
      <c r="E29" s="1" t="s">
        <v>13</v>
      </c>
      <c r="F29" s="1" t="s">
        <v>27</v>
      </c>
      <c r="G29" s="1" t="s">
        <v>28</v>
      </c>
      <c r="H29" s="1">
        <v>54000.0</v>
      </c>
      <c r="I29" s="1">
        <v>1.0</v>
      </c>
      <c r="J29" s="1">
        <v>0.06</v>
      </c>
      <c r="K29" s="1">
        <v>7000.0</v>
      </c>
    </row>
    <row r="30">
      <c r="A30" s="1">
        <v>1029.0</v>
      </c>
      <c r="B30" s="2">
        <v>44951.0</v>
      </c>
      <c r="C30" s="1" t="s">
        <v>11</v>
      </c>
      <c r="D30" s="1" t="s">
        <v>12</v>
      </c>
      <c r="E30" s="1" t="s">
        <v>18</v>
      </c>
      <c r="F30" s="1" t="s">
        <v>19</v>
      </c>
      <c r="G30" s="1" t="s">
        <v>15</v>
      </c>
      <c r="H30" s="1">
        <v>6800.0</v>
      </c>
      <c r="I30" s="1">
        <v>1.0</v>
      </c>
      <c r="J30" s="1">
        <v>0.1</v>
      </c>
      <c r="K30" s="1">
        <v>1200.0</v>
      </c>
    </row>
    <row r="31">
      <c r="A31" s="1">
        <v>1030.0</v>
      </c>
      <c r="B31" s="2">
        <v>45004.0</v>
      </c>
      <c r="C31" s="1" t="s">
        <v>16</v>
      </c>
      <c r="D31" s="1" t="s">
        <v>17</v>
      </c>
      <c r="E31" s="1" t="s">
        <v>23</v>
      </c>
      <c r="F31" s="1" t="s">
        <v>32</v>
      </c>
      <c r="G31" s="1" t="s">
        <v>20</v>
      </c>
      <c r="H31" s="1">
        <v>2700.0</v>
      </c>
      <c r="I31" s="1">
        <v>2.0</v>
      </c>
      <c r="J31" s="1">
        <v>0.1</v>
      </c>
      <c r="K31" s="1">
        <v>650.0</v>
      </c>
    </row>
    <row r="32">
      <c r="A32" s="1">
        <v>1031.0</v>
      </c>
      <c r="B32" s="2">
        <v>44929.0</v>
      </c>
      <c r="C32" s="1" t="s">
        <v>21</v>
      </c>
      <c r="D32" s="1" t="s">
        <v>22</v>
      </c>
      <c r="E32" s="1" t="s">
        <v>13</v>
      </c>
      <c r="F32" s="1" t="s">
        <v>14</v>
      </c>
      <c r="G32" s="1" t="s">
        <v>15</v>
      </c>
      <c r="H32" s="1">
        <v>22000.0</v>
      </c>
      <c r="I32" s="1">
        <v>1.0</v>
      </c>
      <c r="J32" s="1">
        <v>0.08</v>
      </c>
      <c r="K32" s="1">
        <v>3200.0</v>
      </c>
    </row>
    <row r="33">
      <c r="A33" s="1">
        <v>1032.0</v>
      </c>
      <c r="B33" s="2">
        <v>44998.0</v>
      </c>
      <c r="C33" s="1" t="s">
        <v>25</v>
      </c>
      <c r="D33" s="1" t="s">
        <v>35</v>
      </c>
      <c r="E33" s="1" t="s">
        <v>18</v>
      </c>
      <c r="F33" s="1" t="s">
        <v>30</v>
      </c>
      <c r="G33" s="1" t="s">
        <v>28</v>
      </c>
      <c r="H33" s="1">
        <v>11000.0</v>
      </c>
      <c r="I33" s="1">
        <v>1.0</v>
      </c>
      <c r="J33" s="1">
        <v>0.14</v>
      </c>
      <c r="K33" s="1">
        <v>1700.0</v>
      </c>
    </row>
    <row r="34">
      <c r="A34" s="1">
        <v>1033.0</v>
      </c>
      <c r="B34" s="2">
        <v>44962.0</v>
      </c>
      <c r="C34" s="1" t="s">
        <v>11</v>
      </c>
      <c r="D34" s="1" t="s">
        <v>29</v>
      </c>
      <c r="E34" s="1" t="s">
        <v>23</v>
      </c>
      <c r="F34" s="1" t="s">
        <v>39</v>
      </c>
      <c r="G34" s="1" t="s">
        <v>15</v>
      </c>
      <c r="H34" s="1">
        <v>2000.0</v>
      </c>
      <c r="I34" s="1">
        <v>2.0</v>
      </c>
      <c r="J34" s="1">
        <v>0.05</v>
      </c>
      <c r="K34" s="1">
        <v>400.0</v>
      </c>
    </row>
    <row r="35">
      <c r="A35" s="1">
        <v>1034.0</v>
      </c>
      <c r="B35" s="2">
        <v>45014.0</v>
      </c>
      <c r="C35" s="1" t="s">
        <v>16</v>
      </c>
      <c r="D35" s="1" t="s">
        <v>31</v>
      </c>
      <c r="E35" s="1" t="s">
        <v>13</v>
      </c>
      <c r="F35" s="1" t="s">
        <v>34</v>
      </c>
      <c r="G35" s="1" t="s">
        <v>20</v>
      </c>
      <c r="H35" s="1">
        <v>16000.0</v>
      </c>
      <c r="I35" s="1">
        <v>1.0</v>
      </c>
      <c r="J35" s="1">
        <v>0.07</v>
      </c>
      <c r="K35" s="1">
        <v>2500.0</v>
      </c>
    </row>
    <row r="36">
      <c r="A36" s="1">
        <v>1035.0</v>
      </c>
      <c r="B36" s="2">
        <v>44999.0</v>
      </c>
      <c r="C36" s="1" t="s">
        <v>21</v>
      </c>
      <c r="D36" s="1" t="s">
        <v>40</v>
      </c>
      <c r="E36" s="1" t="s">
        <v>18</v>
      </c>
      <c r="F36" s="1" t="s">
        <v>36</v>
      </c>
      <c r="G36" s="1" t="s">
        <v>15</v>
      </c>
      <c r="H36" s="1">
        <v>30000.0</v>
      </c>
      <c r="I36" s="1">
        <v>1.0</v>
      </c>
      <c r="J36" s="1">
        <v>0.17</v>
      </c>
      <c r="K36" s="1">
        <v>3900.0</v>
      </c>
    </row>
    <row r="37">
      <c r="A37" s="1">
        <v>1036.0</v>
      </c>
      <c r="B37" s="2">
        <v>44977.0</v>
      </c>
      <c r="C37" s="1" t="s">
        <v>25</v>
      </c>
      <c r="D37" s="1" t="s">
        <v>26</v>
      </c>
      <c r="E37" s="1" t="s">
        <v>23</v>
      </c>
      <c r="F37" s="1" t="s">
        <v>37</v>
      </c>
      <c r="G37" s="1" t="s">
        <v>28</v>
      </c>
      <c r="H37" s="1">
        <v>4000.0</v>
      </c>
      <c r="I37" s="1">
        <v>1.0</v>
      </c>
      <c r="J37" s="1">
        <v>0.09</v>
      </c>
      <c r="K37" s="1">
        <v>900.0</v>
      </c>
    </row>
    <row r="38">
      <c r="A38" s="1">
        <v>1037.0</v>
      </c>
      <c r="B38" s="2">
        <v>45003.0</v>
      </c>
      <c r="C38" s="1" t="s">
        <v>11</v>
      </c>
      <c r="D38" s="1" t="s">
        <v>12</v>
      </c>
      <c r="E38" s="1" t="s">
        <v>13</v>
      </c>
      <c r="F38" s="1" t="s">
        <v>27</v>
      </c>
      <c r="G38" s="1" t="s">
        <v>15</v>
      </c>
      <c r="H38" s="1">
        <v>58000.0</v>
      </c>
      <c r="I38" s="1">
        <v>1.0</v>
      </c>
      <c r="J38" s="1">
        <v>0.05</v>
      </c>
      <c r="K38" s="1">
        <v>7800.0</v>
      </c>
    </row>
    <row r="39">
      <c r="A39" s="1">
        <v>1038.0</v>
      </c>
      <c r="B39" s="2">
        <v>45012.0</v>
      </c>
      <c r="C39" s="1" t="s">
        <v>16</v>
      </c>
      <c r="D39" s="1" t="s">
        <v>17</v>
      </c>
      <c r="E39" s="1" t="s">
        <v>18</v>
      </c>
      <c r="F39" s="1" t="s">
        <v>19</v>
      </c>
      <c r="G39" s="1" t="s">
        <v>20</v>
      </c>
      <c r="H39" s="1">
        <v>7500.0</v>
      </c>
      <c r="I39" s="1">
        <v>1.0</v>
      </c>
      <c r="J39" s="1">
        <v>0.11</v>
      </c>
      <c r="K39" s="1">
        <v>1300.0</v>
      </c>
    </row>
    <row r="40">
      <c r="A40" s="1">
        <v>1039.0</v>
      </c>
      <c r="B40" s="2">
        <v>45004.0</v>
      </c>
      <c r="C40" s="1" t="s">
        <v>21</v>
      </c>
      <c r="D40" s="1" t="s">
        <v>33</v>
      </c>
      <c r="E40" s="1" t="s">
        <v>23</v>
      </c>
      <c r="F40" s="1" t="s">
        <v>24</v>
      </c>
      <c r="G40" s="1" t="s">
        <v>15</v>
      </c>
      <c r="H40" s="1">
        <v>1500.0</v>
      </c>
      <c r="I40" s="1">
        <v>3.0</v>
      </c>
      <c r="J40" s="1">
        <v>0.05</v>
      </c>
      <c r="K40" s="1">
        <v>300.0</v>
      </c>
    </row>
    <row r="41">
      <c r="A41" s="1">
        <v>1040.0</v>
      </c>
      <c r="B41" s="2">
        <v>44973.0</v>
      </c>
      <c r="C41" s="1" t="s">
        <v>25</v>
      </c>
      <c r="D41" s="1" t="s">
        <v>26</v>
      </c>
      <c r="E41" s="1" t="s">
        <v>13</v>
      </c>
      <c r="F41" s="1" t="s">
        <v>14</v>
      </c>
      <c r="G41" s="1" t="s">
        <v>28</v>
      </c>
      <c r="H41" s="1">
        <v>21000.0</v>
      </c>
      <c r="I41" s="1">
        <v>1.0</v>
      </c>
      <c r="J41" s="1">
        <v>0.09</v>
      </c>
      <c r="K41" s="1">
        <v>3100.0</v>
      </c>
    </row>
    <row r="42">
      <c r="A42" s="1">
        <v>1041.0</v>
      </c>
      <c r="B42" s="2">
        <v>45000.0</v>
      </c>
      <c r="C42" s="1" t="s">
        <v>11</v>
      </c>
      <c r="D42" s="1" t="s">
        <v>29</v>
      </c>
      <c r="E42" s="1" t="s">
        <v>18</v>
      </c>
      <c r="F42" s="1" t="s">
        <v>30</v>
      </c>
      <c r="G42" s="1" t="s">
        <v>15</v>
      </c>
      <c r="H42" s="1">
        <v>9500.0</v>
      </c>
      <c r="I42" s="1">
        <v>1.0</v>
      </c>
      <c r="J42" s="1">
        <v>0.13</v>
      </c>
      <c r="K42" s="1">
        <v>1500.0</v>
      </c>
    </row>
    <row r="43">
      <c r="A43" s="1">
        <v>1042.0</v>
      </c>
      <c r="B43" s="2">
        <v>44989.0</v>
      </c>
      <c r="C43" s="1" t="s">
        <v>16</v>
      </c>
      <c r="D43" s="1" t="s">
        <v>17</v>
      </c>
      <c r="E43" s="1" t="s">
        <v>23</v>
      </c>
      <c r="F43" s="1" t="s">
        <v>32</v>
      </c>
      <c r="G43" s="1" t="s">
        <v>20</v>
      </c>
      <c r="H43" s="1">
        <v>2600.0</v>
      </c>
      <c r="I43" s="1">
        <v>2.0</v>
      </c>
      <c r="J43" s="1">
        <v>0.1</v>
      </c>
      <c r="K43" s="1">
        <v>650.0</v>
      </c>
    </row>
    <row r="44">
      <c r="A44" s="1">
        <v>1043.0</v>
      </c>
      <c r="B44" s="2">
        <v>44946.0</v>
      </c>
      <c r="C44" s="1" t="s">
        <v>21</v>
      </c>
      <c r="D44" s="1" t="s">
        <v>22</v>
      </c>
      <c r="E44" s="1" t="s">
        <v>13</v>
      </c>
      <c r="F44" s="1" t="s">
        <v>38</v>
      </c>
      <c r="G44" s="1" t="s">
        <v>15</v>
      </c>
      <c r="H44" s="1">
        <v>2900.0</v>
      </c>
      <c r="I44" s="1">
        <v>2.0</v>
      </c>
      <c r="J44" s="1">
        <v>0.07</v>
      </c>
      <c r="K44" s="1">
        <v>550.0</v>
      </c>
    </row>
    <row r="45">
      <c r="A45" s="1">
        <v>1044.0</v>
      </c>
      <c r="B45" s="2">
        <v>44942.0</v>
      </c>
      <c r="C45" s="1" t="s">
        <v>25</v>
      </c>
      <c r="D45" s="1" t="s">
        <v>35</v>
      </c>
      <c r="E45" s="1" t="s">
        <v>18</v>
      </c>
      <c r="F45" s="1" t="s">
        <v>36</v>
      </c>
      <c r="G45" s="1" t="s">
        <v>28</v>
      </c>
      <c r="H45" s="1">
        <v>31000.0</v>
      </c>
      <c r="I45" s="1">
        <v>1.0</v>
      </c>
      <c r="J45" s="1">
        <v>0.18</v>
      </c>
      <c r="K45" s="1">
        <v>4000.0</v>
      </c>
    </row>
    <row r="46">
      <c r="A46" s="1">
        <v>1045.0</v>
      </c>
      <c r="B46" s="2">
        <v>44958.0</v>
      </c>
      <c r="C46" s="1" t="s">
        <v>11</v>
      </c>
      <c r="D46" s="1" t="s">
        <v>41</v>
      </c>
      <c r="E46" s="1" t="s">
        <v>23</v>
      </c>
      <c r="F46" s="1" t="s">
        <v>39</v>
      </c>
      <c r="G46" s="1" t="s">
        <v>15</v>
      </c>
      <c r="H46" s="1">
        <v>2200.0</v>
      </c>
      <c r="I46" s="1">
        <v>2.0</v>
      </c>
      <c r="J46" s="1">
        <v>0.05</v>
      </c>
      <c r="K46" s="1">
        <v>450.0</v>
      </c>
    </row>
    <row r="47">
      <c r="A47" s="1">
        <v>1046.0</v>
      </c>
      <c r="B47" s="2">
        <v>44983.0</v>
      </c>
      <c r="C47" s="1" t="s">
        <v>16</v>
      </c>
      <c r="D47" s="1" t="s">
        <v>31</v>
      </c>
      <c r="E47" s="1" t="s">
        <v>13</v>
      </c>
      <c r="F47" s="1" t="s">
        <v>34</v>
      </c>
      <c r="G47" s="1" t="s">
        <v>20</v>
      </c>
      <c r="H47" s="1">
        <v>15500.0</v>
      </c>
      <c r="I47" s="1">
        <v>1.0</v>
      </c>
      <c r="J47" s="1">
        <v>0.07</v>
      </c>
      <c r="K47" s="1">
        <v>2400.0</v>
      </c>
    </row>
    <row r="48">
      <c r="A48" s="1">
        <v>1047.0</v>
      </c>
      <c r="B48" s="2">
        <v>44937.0</v>
      </c>
      <c r="C48" s="1" t="s">
        <v>21</v>
      </c>
      <c r="D48" s="1" t="s">
        <v>40</v>
      </c>
      <c r="E48" s="1" t="s">
        <v>18</v>
      </c>
      <c r="F48" s="1" t="s">
        <v>19</v>
      </c>
      <c r="G48" s="1" t="s">
        <v>15</v>
      </c>
      <c r="H48" s="1">
        <v>7000.0</v>
      </c>
      <c r="I48" s="1">
        <v>1.0</v>
      </c>
      <c r="J48" s="1">
        <v>0.1</v>
      </c>
      <c r="K48" s="1">
        <v>1100.0</v>
      </c>
    </row>
    <row r="49">
      <c r="A49" s="1">
        <v>1048.0</v>
      </c>
      <c r="B49" s="2">
        <v>44979.0</v>
      </c>
      <c r="C49" s="1" t="s">
        <v>25</v>
      </c>
      <c r="D49" s="1" t="s">
        <v>26</v>
      </c>
      <c r="E49" s="1" t="s">
        <v>23</v>
      </c>
      <c r="F49" s="1" t="s">
        <v>24</v>
      </c>
      <c r="G49" s="1" t="s">
        <v>28</v>
      </c>
      <c r="H49" s="1">
        <v>1400.0</v>
      </c>
      <c r="I49" s="1">
        <v>3.0</v>
      </c>
      <c r="J49" s="1">
        <v>0.05</v>
      </c>
      <c r="K49" s="1">
        <v>300.0</v>
      </c>
    </row>
    <row r="50">
      <c r="A50" s="1">
        <v>1049.0</v>
      </c>
      <c r="B50" s="2">
        <v>44934.0</v>
      </c>
      <c r="C50" s="1" t="s">
        <v>11</v>
      </c>
      <c r="D50" s="1" t="s">
        <v>12</v>
      </c>
      <c r="E50" s="1" t="s">
        <v>13</v>
      </c>
      <c r="F50" s="1" t="s">
        <v>14</v>
      </c>
      <c r="G50" s="1" t="s">
        <v>15</v>
      </c>
      <c r="H50" s="1">
        <v>23000.0</v>
      </c>
      <c r="I50" s="1">
        <v>1.0</v>
      </c>
      <c r="J50" s="1">
        <v>0.08</v>
      </c>
      <c r="K50" s="1">
        <v>3300.0</v>
      </c>
    </row>
    <row r="51">
      <c r="A51" s="1">
        <v>1050.0</v>
      </c>
      <c r="B51" s="2">
        <v>44942.0</v>
      </c>
      <c r="C51" s="1" t="s">
        <v>16</v>
      </c>
      <c r="D51" s="1" t="s">
        <v>17</v>
      </c>
      <c r="E51" s="1" t="s">
        <v>18</v>
      </c>
      <c r="F51" s="1" t="s">
        <v>30</v>
      </c>
      <c r="G51" s="1" t="s">
        <v>20</v>
      </c>
      <c r="H51" s="1">
        <v>10000.0</v>
      </c>
      <c r="I51" s="1">
        <v>1.0</v>
      </c>
      <c r="J51" s="1">
        <v>0.14</v>
      </c>
      <c r="K51" s="1">
        <v>1600.0</v>
      </c>
    </row>
    <row r="52">
      <c r="A52" s="1">
        <v>1051.0</v>
      </c>
      <c r="B52" s="2">
        <v>44998.0</v>
      </c>
      <c r="C52" s="1" t="s">
        <v>16</v>
      </c>
      <c r="D52" s="1" t="s">
        <v>17</v>
      </c>
      <c r="E52" s="1" t="s">
        <v>23</v>
      </c>
      <c r="F52" s="1" t="s">
        <v>32</v>
      </c>
      <c r="G52" s="1" t="s">
        <v>20</v>
      </c>
      <c r="H52" s="1">
        <v>2700.0</v>
      </c>
      <c r="I52" s="1">
        <v>2.0</v>
      </c>
      <c r="J52" s="1">
        <v>0.1</v>
      </c>
      <c r="K52" s="1">
        <v>650.0</v>
      </c>
    </row>
    <row r="53">
      <c r="A53" s="1">
        <v>1052.0</v>
      </c>
      <c r="B53" s="2">
        <v>44935.0</v>
      </c>
      <c r="C53" s="1" t="s">
        <v>21</v>
      </c>
      <c r="D53" s="1" t="s">
        <v>22</v>
      </c>
      <c r="E53" s="1" t="s">
        <v>13</v>
      </c>
      <c r="F53" s="1" t="s">
        <v>14</v>
      </c>
      <c r="G53" s="1" t="s">
        <v>15</v>
      </c>
      <c r="H53" s="1">
        <v>22000.0</v>
      </c>
      <c r="I53" s="1">
        <v>1.0</v>
      </c>
      <c r="J53" s="1">
        <v>0.08</v>
      </c>
      <c r="K53" s="1">
        <v>3200.0</v>
      </c>
    </row>
    <row r="54">
      <c r="A54" s="1">
        <v>1053.0</v>
      </c>
      <c r="B54" s="2">
        <v>44948.0</v>
      </c>
      <c r="C54" s="1" t="s">
        <v>25</v>
      </c>
      <c r="D54" s="1" t="s">
        <v>35</v>
      </c>
      <c r="E54" s="1" t="s">
        <v>18</v>
      </c>
      <c r="F54" s="1" t="s">
        <v>30</v>
      </c>
      <c r="G54" s="1" t="s">
        <v>28</v>
      </c>
      <c r="H54" s="1">
        <v>11000.0</v>
      </c>
      <c r="I54" s="1">
        <v>1.0</v>
      </c>
      <c r="J54" s="1">
        <v>0.14</v>
      </c>
      <c r="K54" s="1">
        <v>1700.0</v>
      </c>
    </row>
    <row r="55">
      <c r="A55" s="1">
        <v>1054.0</v>
      </c>
      <c r="B55" s="2">
        <v>44961.0</v>
      </c>
      <c r="C55" s="1" t="s">
        <v>11</v>
      </c>
      <c r="D55" s="1" t="s">
        <v>29</v>
      </c>
      <c r="E55" s="1" t="s">
        <v>23</v>
      </c>
      <c r="F55" s="1" t="s">
        <v>39</v>
      </c>
      <c r="G55" s="1" t="s">
        <v>15</v>
      </c>
      <c r="H55" s="1">
        <v>2000.0</v>
      </c>
      <c r="I55" s="1">
        <v>2.0</v>
      </c>
      <c r="J55" s="1">
        <v>0.05</v>
      </c>
      <c r="K55" s="1">
        <v>400.0</v>
      </c>
    </row>
    <row r="56">
      <c r="A56" s="1">
        <v>1055.0</v>
      </c>
      <c r="B56" s="2">
        <v>44987.0</v>
      </c>
      <c r="C56" s="1" t="s">
        <v>16</v>
      </c>
      <c r="D56" s="1" t="s">
        <v>31</v>
      </c>
      <c r="E56" s="1" t="s">
        <v>13</v>
      </c>
      <c r="F56" s="1" t="s">
        <v>34</v>
      </c>
      <c r="G56" s="1" t="s">
        <v>20</v>
      </c>
      <c r="H56" s="1">
        <v>16000.0</v>
      </c>
      <c r="I56" s="1">
        <v>1.0</v>
      </c>
      <c r="J56" s="1">
        <v>0.07</v>
      </c>
      <c r="K56" s="1">
        <v>2500.0</v>
      </c>
    </row>
    <row r="57">
      <c r="A57" s="1">
        <v>1056.0</v>
      </c>
      <c r="B57" s="2">
        <v>44959.0</v>
      </c>
      <c r="C57" s="1" t="s">
        <v>21</v>
      </c>
      <c r="D57" s="1" t="s">
        <v>40</v>
      </c>
      <c r="E57" s="1" t="s">
        <v>18</v>
      </c>
      <c r="F57" s="1" t="s">
        <v>36</v>
      </c>
      <c r="G57" s="1" t="s">
        <v>15</v>
      </c>
      <c r="H57" s="1">
        <v>30000.0</v>
      </c>
      <c r="I57" s="1">
        <v>1.0</v>
      </c>
      <c r="J57" s="1">
        <v>0.17</v>
      </c>
      <c r="K57" s="1">
        <v>3900.0</v>
      </c>
    </row>
    <row r="58">
      <c r="A58" s="1">
        <v>1057.0</v>
      </c>
      <c r="B58" s="2">
        <v>44937.0</v>
      </c>
      <c r="C58" s="1" t="s">
        <v>25</v>
      </c>
      <c r="D58" s="1" t="s">
        <v>26</v>
      </c>
      <c r="E58" s="1" t="s">
        <v>23</v>
      </c>
      <c r="F58" s="1" t="s">
        <v>37</v>
      </c>
      <c r="G58" s="1" t="s">
        <v>28</v>
      </c>
      <c r="H58" s="1">
        <v>4000.0</v>
      </c>
      <c r="I58" s="1">
        <v>1.0</v>
      </c>
      <c r="J58" s="1">
        <v>0.09</v>
      </c>
      <c r="K58" s="1">
        <v>900.0</v>
      </c>
    </row>
    <row r="59">
      <c r="A59" s="1">
        <v>1058.0</v>
      </c>
      <c r="B59" s="2">
        <v>44927.0</v>
      </c>
      <c r="C59" s="1" t="s">
        <v>11</v>
      </c>
      <c r="D59" s="1" t="s">
        <v>12</v>
      </c>
      <c r="E59" s="1" t="s">
        <v>13</v>
      </c>
      <c r="F59" s="1" t="s">
        <v>27</v>
      </c>
      <c r="G59" s="1" t="s">
        <v>15</v>
      </c>
      <c r="H59" s="1">
        <v>58000.0</v>
      </c>
      <c r="I59" s="1">
        <v>1.0</v>
      </c>
      <c r="J59" s="1">
        <v>0.05</v>
      </c>
      <c r="K59" s="1">
        <v>7800.0</v>
      </c>
    </row>
    <row r="60">
      <c r="A60" s="1">
        <v>1059.0</v>
      </c>
      <c r="B60" s="2">
        <v>45013.0</v>
      </c>
      <c r="C60" s="1" t="s">
        <v>16</v>
      </c>
      <c r="D60" s="1" t="s">
        <v>17</v>
      </c>
      <c r="E60" s="1" t="s">
        <v>18</v>
      </c>
      <c r="F60" s="1" t="s">
        <v>19</v>
      </c>
      <c r="G60" s="1" t="s">
        <v>20</v>
      </c>
      <c r="H60" s="1">
        <v>7500.0</v>
      </c>
      <c r="I60" s="1">
        <v>1.0</v>
      </c>
      <c r="J60" s="1">
        <v>0.11</v>
      </c>
      <c r="K60" s="1">
        <v>1300.0</v>
      </c>
    </row>
    <row r="61">
      <c r="A61" s="1">
        <v>1060.0</v>
      </c>
      <c r="B61" s="2">
        <v>44989.0</v>
      </c>
      <c r="C61" s="1" t="s">
        <v>21</v>
      </c>
      <c r="D61" s="1" t="s">
        <v>33</v>
      </c>
      <c r="E61" s="1" t="s">
        <v>23</v>
      </c>
      <c r="F61" s="1" t="s">
        <v>24</v>
      </c>
      <c r="G61" s="1" t="s">
        <v>15</v>
      </c>
      <c r="H61" s="1">
        <v>1500.0</v>
      </c>
      <c r="I61" s="1">
        <v>3.0</v>
      </c>
      <c r="J61" s="1">
        <v>0.05</v>
      </c>
      <c r="K61" s="1">
        <v>300.0</v>
      </c>
    </row>
    <row r="62">
      <c r="A62" s="1">
        <v>1061.0</v>
      </c>
      <c r="B62" s="2">
        <v>44954.0</v>
      </c>
      <c r="C62" s="1" t="s">
        <v>25</v>
      </c>
      <c r="D62" s="1" t="s">
        <v>26</v>
      </c>
      <c r="E62" s="1" t="s">
        <v>13</v>
      </c>
      <c r="F62" s="1" t="s">
        <v>14</v>
      </c>
      <c r="G62" s="1" t="s">
        <v>28</v>
      </c>
      <c r="H62" s="1">
        <v>21000.0</v>
      </c>
      <c r="I62" s="1">
        <v>1.0</v>
      </c>
      <c r="J62" s="1">
        <v>0.09</v>
      </c>
      <c r="K62" s="1">
        <v>3100.0</v>
      </c>
    </row>
    <row r="63">
      <c r="A63" s="1">
        <v>1062.0</v>
      </c>
      <c r="B63" s="2">
        <v>45011.0</v>
      </c>
      <c r="C63" s="1" t="s">
        <v>11</v>
      </c>
      <c r="D63" s="1" t="s">
        <v>29</v>
      </c>
      <c r="E63" s="1" t="s">
        <v>18</v>
      </c>
      <c r="F63" s="1" t="s">
        <v>30</v>
      </c>
      <c r="G63" s="1" t="s">
        <v>15</v>
      </c>
      <c r="H63" s="1">
        <v>9500.0</v>
      </c>
      <c r="I63" s="1">
        <v>1.0</v>
      </c>
      <c r="J63" s="1">
        <v>0.13</v>
      </c>
      <c r="K63" s="1">
        <v>1500.0</v>
      </c>
    </row>
    <row r="64">
      <c r="A64" s="1">
        <v>1063.0</v>
      </c>
      <c r="B64" s="2">
        <v>44938.0</v>
      </c>
      <c r="C64" s="1" t="s">
        <v>16</v>
      </c>
      <c r="D64" s="1" t="s">
        <v>17</v>
      </c>
      <c r="E64" s="1" t="s">
        <v>23</v>
      </c>
      <c r="F64" s="1" t="s">
        <v>32</v>
      </c>
      <c r="G64" s="1" t="s">
        <v>20</v>
      </c>
      <c r="H64" s="1">
        <v>2600.0</v>
      </c>
      <c r="I64" s="1">
        <v>2.0</v>
      </c>
      <c r="J64" s="1">
        <v>0.1</v>
      </c>
      <c r="K64" s="1">
        <v>650.0</v>
      </c>
    </row>
    <row r="65">
      <c r="A65" s="1">
        <v>1064.0</v>
      </c>
      <c r="B65" s="2">
        <v>44928.0</v>
      </c>
      <c r="C65" s="1" t="s">
        <v>21</v>
      </c>
      <c r="D65" s="1" t="s">
        <v>22</v>
      </c>
      <c r="E65" s="1" t="s">
        <v>13</v>
      </c>
      <c r="F65" s="1" t="s">
        <v>38</v>
      </c>
      <c r="G65" s="1" t="s">
        <v>15</v>
      </c>
      <c r="H65" s="1">
        <v>2900.0</v>
      </c>
      <c r="I65" s="1">
        <v>2.0</v>
      </c>
      <c r="J65" s="1">
        <v>0.07</v>
      </c>
      <c r="K65" s="1">
        <v>550.0</v>
      </c>
    </row>
    <row r="66">
      <c r="A66" s="1">
        <v>1065.0</v>
      </c>
      <c r="B66" s="2">
        <v>44944.0</v>
      </c>
      <c r="C66" s="1" t="s">
        <v>25</v>
      </c>
      <c r="D66" s="1" t="s">
        <v>35</v>
      </c>
      <c r="E66" s="1" t="s">
        <v>18</v>
      </c>
      <c r="F66" s="1" t="s">
        <v>36</v>
      </c>
      <c r="G66" s="1" t="s">
        <v>28</v>
      </c>
      <c r="H66" s="1">
        <v>31000.0</v>
      </c>
      <c r="I66" s="1">
        <v>1.0</v>
      </c>
      <c r="J66" s="1">
        <v>0.18</v>
      </c>
      <c r="K66" s="1">
        <v>4000.0</v>
      </c>
    </row>
    <row r="67">
      <c r="A67" s="1">
        <v>1066.0</v>
      </c>
      <c r="B67" s="2">
        <v>44954.0</v>
      </c>
      <c r="C67" s="1" t="s">
        <v>11</v>
      </c>
      <c r="D67" s="1" t="s">
        <v>41</v>
      </c>
      <c r="E67" s="1" t="s">
        <v>23</v>
      </c>
      <c r="F67" s="1" t="s">
        <v>39</v>
      </c>
      <c r="G67" s="1" t="s">
        <v>15</v>
      </c>
      <c r="H67" s="1">
        <v>2200.0</v>
      </c>
      <c r="I67" s="1">
        <v>2.0</v>
      </c>
      <c r="J67" s="1">
        <v>0.05</v>
      </c>
      <c r="K67" s="1">
        <v>450.0</v>
      </c>
    </row>
    <row r="68">
      <c r="A68" s="1">
        <v>1067.0</v>
      </c>
      <c r="B68" s="2">
        <v>44932.0</v>
      </c>
      <c r="C68" s="1" t="s">
        <v>16</v>
      </c>
      <c r="D68" s="1" t="s">
        <v>31</v>
      </c>
      <c r="E68" s="1" t="s">
        <v>13</v>
      </c>
      <c r="F68" s="1" t="s">
        <v>34</v>
      </c>
      <c r="G68" s="1" t="s">
        <v>20</v>
      </c>
      <c r="H68" s="1">
        <v>15500.0</v>
      </c>
      <c r="I68" s="1">
        <v>1.0</v>
      </c>
      <c r="J68" s="1">
        <v>0.07</v>
      </c>
      <c r="K68" s="1">
        <v>2400.0</v>
      </c>
    </row>
    <row r="69">
      <c r="A69" s="1">
        <v>1068.0</v>
      </c>
      <c r="B69" s="2">
        <v>44957.0</v>
      </c>
      <c r="C69" s="1" t="s">
        <v>21</v>
      </c>
      <c r="D69" s="1" t="s">
        <v>40</v>
      </c>
      <c r="E69" s="1" t="s">
        <v>18</v>
      </c>
      <c r="F69" s="1" t="s">
        <v>19</v>
      </c>
      <c r="G69" s="1" t="s">
        <v>15</v>
      </c>
      <c r="H69" s="1">
        <v>7000.0</v>
      </c>
      <c r="I69" s="1">
        <v>1.0</v>
      </c>
      <c r="J69" s="1">
        <v>0.1</v>
      </c>
      <c r="K69" s="1">
        <v>1100.0</v>
      </c>
    </row>
    <row r="70">
      <c r="A70" s="1">
        <v>1069.0</v>
      </c>
      <c r="B70" s="2">
        <v>45007.0</v>
      </c>
      <c r="C70" s="1" t="s">
        <v>25</v>
      </c>
      <c r="D70" s="1" t="s">
        <v>26</v>
      </c>
      <c r="E70" s="1" t="s">
        <v>23</v>
      </c>
      <c r="F70" s="1" t="s">
        <v>24</v>
      </c>
      <c r="G70" s="1" t="s">
        <v>28</v>
      </c>
      <c r="H70" s="1">
        <v>1400.0</v>
      </c>
      <c r="I70" s="1">
        <v>3.0</v>
      </c>
      <c r="J70" s="1">
        <v>0.05</v>
      </c>
      <c r="K70" s="1">
        <v>300.0</v>
      </c>
    </row>
    <row r="71">
      <c r="A71" s="1">
        <v>1070.0</v>
      </c>
      <c r="B71" s="2">
        <v>44961.0</v>
      </c>
      <c r="C71" s="1" t="s">
        <v>11</v>
      </c>
      <c r="D71" s="1" t="s">
        <v>12</v>
      </c>
      <c r="E71" s="1" t="s">
        <v>13</v>
      </c>
      <c r="F71" s="1" t="s">
        <v>14</v>
      </c>
      <c r="G71" s="1" t="s">
        <v>15</v>
      </c>
      <c r="H71" s="1">
        <v>23000.0</v>
      </c>
      <c r="I71" s="1">
        <v>1.0</v>
      </c>
      <c r="J71" s="1">
        <v>0.08</v>
      </c>
      <c r="K71" s="1">
        <v>3300.0</v>
      </c>
    </row>
    <row r="72">
      <c r="A72" s="1">
        <v>1071.0</v>
      </c>
      <c r="B72" s="2">
        <v>44947.0</v>
      </c>
      <c r="C72" s="1" t="s">
        <v>16</v>
      </c>
      <c r="D72" s="1" t="s">
        <v>17</v>
      </c>
      <c r="E72" s="1" t="s">
        <v>18</v>
      </c>
      <c r="F72" s="1" t="s">
        <v>30</v>
      </c>
      <c r="G72" s="1" t="s">
        <v>20</v>
      </c>
      <c r="H72" s="1">
        <v>10000.0</v>
      </c>
      <c r="I72" s="1">
        <v>1.0</v>
      </c>
      <c r="J72" s="1">
        <v>0.14</v>
      </c>
      <c r="K72" s="1">
        <v>1600.0</v>
      </c>
    </row>
    <row r="73">
      <c r="A73" s="1">
        <v>1072.0</v>
      </c>
      <c r="B73" s="2">
        <v>44941.0</v>
      </c>
      <c r="C73" s="1" t="s">
        <v>11</v>
      </c>
      <c r="D73" s="1" t="s">
        <v>12</v>
      </c>
      <c r="E73" s="1" t="s">
        <v>13</v>
      </c>
      <c r="F73" s="1" t="s">
        <v>38</v>
      </c>
      <c r="G73" s="1" t="s">
        <v>15</v>
      </c>
      <c r="H73" s="3">
        <v>23490.0</v>
      </c>
      <c r="I73" s="1">
        <v>2.0</v>
      </c>
      <c r="J73" s="1">
        <v>0.1</v>
      </c>
      <c r="K73" s="3">
        <v>3169.0</v>
      </c>
    </row>
    <row r="74">
      <c r="A74" s="1">
        <v>1073.0</v>
      </c>
      <c r="B74" s="2">
        <v>44996.0</v>
      </c>
      <c r="C74" s="1" t="s">
        <v>16</v>
      </c>
      <c r="D74" s="1" t="s">
        <v>17</v>
      </c>
      <c r="E74" s="1" t="s">
        <v>18</v>
      </c>
      <c r="F74" s="1" t="s">
        <v>19</v>
      </c>
      <c r="G74" s="1" t="s">
        <v>20</v>
      </c>
      <c r="H74" s="3">
        <v>5714.0</v>
      </c>
      <c r="I74" s="1">
        <v>1.0</v>
      </c>
      <c r="J74" s="1">
        <v>0.15</v>
      </c>
      <c r="K74" s="3">
        <v>761.0</v>
      </c>
    </row>
    <row r="75">
      <c r="A75" s="1">
        <v>1074.0</v>
      </c>
      <c r="B75" s="2">
        <v>45009.0</v>
      </c>
      <c r="C75" s="1" t="s">
        <v>21</v>
      </c>
      <c r="D75" s="1" t="s">
        <v>22</v>
      </c>
      <c r="E75" s="1" t="s">
        <v>23</v>
      </c>
      <c r="F75" s="1" t="s">
        <v>24</v>
      </c>
      <c r="G75" s="1" t="s">
        <v>15</v>
      </c>
      <c r="H75" s="3">
        <v>2420.0</v>
      </c>
      <c r="I75" s="1">
        <v>3.0</v>
      </c>
      <c r="J75" s="1">
        <v>0.05</v>
      </c>
      <c r="K75" s="3">
        <v>192.0</v>
      </c>
    </row>
    <row r="76">
      <c r="A76" s="1">
        <v>1075.0</v>
      </c>
      <c r="B76" s="2">
        <v>44985.0</v>
      </c>
      <c r="C76" s="1" t="s">
        <v>25</v>
      </c>
      <c r="D76" s="1" t="s">
        <v>26</v>
      </c>
      <c r="E76" s="1" t="s">
        <v>13</v>
      </c>
      <c r="F76" s="1" t="s">
        <v>14</v>
      </c>
      <c r="G76" s="1" t="s">
        <v>28</v>
      </c>
      <c r="H76" s="3">
        <v>52254.0</v>
      </c>
      <c r="I76" s="1">
        <v>1.0</v>
      </c>
      <c r="J76" s="1">
        <v>0.08</v>
      </c>
      <c r="K76" s="3">
        <v>7173.0</v>
      </c>
    </row>
    <row r="77">
      <c r="A77" s="1">
        <v>1076.0</v>
      </c>
      <c r="B77" s="2">
        <v>44973.0</v>
      </c>
      <c r="C77" s="1" t="s">
        <v>11</v>
      </c>
      <c r="D77" s="1" t="s">
        <v>29</v>
      </c>
      <c r="E77" s="1" t="s">
        <v>18</v>
      </c>
      <c r="F77" s="1" t="s">
        <v>30</v>
      </c>
      <c r="G77" s="1" t="s">
        <v>15</v>
      </c>
      <c r="H77" s="3">
        <v>7576.0</v>
      </c>
      <c r="I77" s="1">
        <v>1.0</v>
      </c>
      <c r="J77" s="1">
        <v>0.12</v>
      </c>
      <c r="K77" s="3">
        <v>936.0</v>
      </c>
    </row>
    <row r="78">
      <c r="A78" s="1">
        <v>1077.0</v>
      </c>
      <c r="B78" s="2">
        <v>45011.0</v>
      </c>
      <c r="C78" s="1" t="s">
        <v>16</v>
      </c>
      <c r="D78" s="1" t="s">
        <v>17</v>
      </c>
      <c r="E78" s="1" t="s">
        <v>23</v>
      </c>
      <c r="F78" s="1" t="s">
        <v>32</v>
      </c>
      <c r="G78" s="1" t="s">
        <v>20</v>
      </c>
      <c r="H78" s="3">
        <v>3335.0</v>
      </c>
      <c r="I78" s="1">
        <v>2.0</v>
      </c>
      <c r="J78" s="1">
        <v>0.1</v>
      </c>
      <c r="K78" s="3">
        <v>1013.0</v>
      </c>
    </row>
    <row r="79">
      <c r="A79" s="1">
        <v>1078.0</v>
      </c>
      <c r="B79" s="2">
        <v>44959.0</v>
      </c>
      <c r="C79" s="1" t="s">
        <v>21</v>
      </c>
      <c r="D79" s="1" t="s">
        <v>33</v>
      </c>
      <c r="E79" s="1" t="s">
        <v>13</v>
      </c>
      <c r="F79" s="1" t="s">
        <v>27</v>
      </c>
      <c r="G79" s="1" t="s">
        <v>15</v>
      </c>
      <c r="H79" s="3">
        <v>13544.0</v>
      </c>
      <c r="I79" s="1">
        <v>1.0</v>
      </c>
      <c r="J79" s="1">
        <v>0.07</v>
      </c>
      <c r="K79" s="3">
        <v>2431.0</v>
      </c>
    </row>
    <row r="80">
      <c r="A80" s="1">
        <v>1079.0</v>
      </c>
      <c r="B80" s="2">
        <v>44968.0</v>
      </c>
      <c r="C80" s="1" t="s">
        <v>25</v>
      </c>
      <c r="D80" s="1" t="s">
        <v>26</v>
      </c>
      <c r="E80" s="1" t="s">
        <v>18</v>
      </c>
      <c r="F80" s="1" t="s">
        <v>36</v>
      </c>
      <c r="G80" s="1" t="s">
        <v>28</v>
      </c>
      <c r="H80" s="3">
        <v>30525.0</v>
      </c>
      <c r="I80" s="1">
        <v>1.0</v>
      </c>
      <c r="J80" s="1">
        <v>0.2</v>
      </c>
      <c r="K80" s="3">
        <v>3309.0</v>
      </c>
    </row>
    <row r="81">
      <c r="A81" s="1">
        <v>1080.0</v>
      </c>
      <c r="B81" s="2">
        <v>44963.0</v>
      </c>
      <c r="C81" s="1" t="s">
        <v>11</v>
      </c>
      <c r="D81" s="1" t="s">
        <v>12</v>
      </c>
      <c r="E81" s="1" t="s">
        <v>23</v>
      </c>
      <c r="F81" s="1" t="s">
        <v>37</v>
      </c>
      <c r="G81" s="1" t="s">
        <v>15</v>
      </c>
      <c r="H81" s="3">
        <v>4228.0</v>
      </c>
      <c r="I81" s="1">
        <v>1.0</v>
      </c>
      <c r="J81" s="1">
        <v>0.1</v>
      </c>
      <c r="K81" s="3">
        <v>169.0</v>
      </c>
    </row>
    <row r="82">
      <c r="A82" s="1">
        <v>1081.0</v>
      </c>
      <c r="B82" s="2">
        <v>44970.0</v>
      </c>
      <c r="C82" s="1" t="s">
        <v>16</v>
      </c>
      <c r="D82" s="1" t="s">
        <v>17</v>
      </c>
      <c r="E82" s="1" t="s">
        <v>13</v>
      </c>
      <c r="F82" s="1" t="s">
        <v>34</v>
      </c>
      <c r="G82" s="1" t="s">
        <v>20</v>
      </c>
      <c r="H82" s="3">
        <v>4828.0</v>
      </c>
      <c r="I82" s="1">
        <v>1.0</v>
      </c>
      <c r="J82" s="1">
        <v>0.05</v>
      </c>
      <c r="K82" s="3">
        <v>692.0</v>
      </c>
    </row>
    <row r="83">
      <c r="A83" s="1">
        <v>1082.0</v>
      </c>
      <c r="B83" s="2">
        <v>45016.0</v>
      </c>
      <c r="C83" s="1" t="s">
        <v>21</v>
      </c>
      <c r="D83" s="1" t="s">
        <v>22</v>
      </c>
      <c r="E83" s="1" t="s">
        <v>18</v>
      </c>
      <c r="F83" s="1" t="s">
        <v>19</v>
      </c>
      <c r="G83" s="1" t="s">
        <v>15</v>
      </c>
      <c r="H83" s="3">
        <v>8504.0</v>
      </c>
      <c r="I83" s="1">
        <v>1.0</v>
      </c>
      <c r="J83" s="1">
        <v>0.1</v>
      </c>
      <c r="K83" s="3">
        <v>1542.0</v>
      </c>
    </row>
    <row r="84">
      <c r="A84" s="1">
        <v>1083.0</v>
      </c>
      <c r="B84" s="2">
        <v>44953.0</v>
      </c>
      <c r="C84" s="1" t="s">
        <v>25</v>
      </c>
      <c r="D84" s="1" t="s">
        <v>26</v>
      </c>
      <c r="E84" s="1" t="s">
        <v>23</v>
      </c>
      <c r="F84" s="1" t="s">
        <v>39</v>
      </c>
      <c r="G84" s="1" t="s">
        <v>28</v>
      </c>
      <c r="H84" s="3">
        <v>-324.0</v>
      </c>
      <c r="I84" s="1">
        <v>2.0</v>
      </c>
      <c r="J84" s="1">
        <v>0.05</v>
      </c>
      <c r="K84" s="3">
        <v>599.0</v>
      </c>
    </row>
    <row r="85">
      <c r="A85" s="1">
        <v>1084.0</v>
      </c>
      <c r="B85" s="2">
        <v>44970.0</v>
      </c>
      <c r="C85" s="1" t="s">
        <v>11</v>
      </c>
      <c r="D85" s="1" t="s">
        <v>29</v>
      </c>
      <c r="E85" s="1" t="s">
        <v>13</v>
      </c>
      <c r="F85" s="1" t="s">
        <v>38</v>
      </c>
      <c r="G85" s="1" t="s">
        <v>15</v>
      </c>
      <c r="H85" s="3">
        <v>21361.0</v>
      </c>
      <c r="I85" s="1">
        <v>2.0</v>
      </c>
      <c r="J85" s="1">
        <v>0.08</v>
      </c>
      <c r="K85" s="3">
        <v>3062.0</v>
      </c>
    </row>
    <row r="86">
      <c r="A86" s="1">
        <v>1085.0</v>
      </c>
      <c r="B86" s="2">
        <v>44934.0</v>
      </c>
      <c r="C86" s="1" t="s">
        <v>16</v>
      </c>
      <c r="D86" s="1" t="s">
        <v>17</v>
      </c>
      <c r="E86" s="1" t="s">
        <v>18</v>
      </c>
      <c r="F86" s="1" t="s">
        <v>30</v>
      </c>
      <c r="G86" s="1" t="s">
        <v>20</v>
      </c>
      <c r="H86" s="3">
        <v>10777.0</v>
      </c>
      <c r="I86" s="1">
        <v>1.0</v>
      </c>
      <c r="J86" s="1">
        <v>0.15</v>
      </c>
      <c r="K86" s="3">
        <v>1454.0</v>
      </c>
    </row>
    <row r="87">
      <c r="A87" s="1">
        <v>1086.0</v>
      </c>
      <c r="B87" s="2">
        <v>44995.0</v>
      </c>
      <c r="C87" s="1" t="s">
        <v>21</v>
      </c>
      <c r="D87" s="1" t="s">
        <v>33</v>
      </c>
      <c r="E87" s="1" t="s">
        <v>23</v>
      </c>
      <c r="F87" s="1" t="s">
        <v>24</v>
      </c>
      <c r="G87" s="1" t="s">
        <v>15</v>
      </c>
      <c r="H87" s="3">
        <v>3081.0</v>
      </c>
      <c r="I87" s="1">
        <v>3.0</v>
      </c>
      <c r="J87" s="1">
        <v>0.05</v>
      </c>
      <c r="K87" s="3">
        <v>629.0</v>
      </c>
    </row>
    <row r="88">
      <c r="A88" s="1">
        <v>1087.0</v>
      </c>
      <c r="B88" s="2">
        <v>44936.0</v>
      </c>
      <c r="C88" s="1" t="s">
        <v>25</v>
      </c>
      <c r="D88" s="1" t="s">
        <v>26</v>
      </c>
      <c r="E88" s="1" t="s">
        <v>13</v>
      </c>
      <c r="F88" s="1" t="s">
        <v>14</v>
      </c>
      <c r="G88" s="1" t="s">
        <v>28</v>
      </c>
      <c r="H88" s="3">
        <v>54766.0</v>
      </c>
      <c r="I88" s="1">
        <v>1.0</v>
      </c>
      <c r="J88" s="1">
        <v>0.1</v>
      </c>
      <c r="K88" s="3">
        <v>6841.0</v>
      </c>
    </row>
    <row r="89">
      <c r="A89" s="1">
        <v>1088.0</v>
      </c>
      <c r="B89" s="2">
        <v>44999.0</v>
      </c>
      <c r="C89" s="1" t="s">
        <v>11</v>
      </c>
      <c r="D89" s="1" t="s">
        <v>12</v>
      </c>
      <c r="E89" s="1" t="s">
        <v>18</v>
      </c>
      <c r="F89" s="1" t="s">
        <v>36</v>
      </c>
      <c r="G89" s="1" t="s">
        <v>15</v>
      </c>
      <c r="H89" s="3">
        <v>28253.0</v>
      </c>
      <c r="I89" s="1">
        <v>1.0</v>
      </c>
      <c r="J89" s="1">
        <v>0.18</v>
      </c>
      <c r="K89" s="3">
        <v>2851.0</v>
      </c>
    </row>
    <row r="90">
      <c r="A90" s="1">
        <v>1089.0</v>
      </c>
      <c r="B90" s="2">
        <v>44968.0</v>
      </c>
      <c r="C90" s="1" t="s">
        <v>16</v>
      </c>
      <c r="D90" s="1" t="s">
        <v>17</v>
      </c>
      <c r="E90" s="1" t="s">
        <v>23</v>
      </c>
      <c r="F90" s="1" t="s">
        <v>32</v>
      </c>
      <c r="G90" s="1" t="s">
        <v>20</v>
      </c>
      <c r="H90" s="3">
        <v>-149.0</v>
      </c>
      <c r="I90" s="1">
        <v>2.0</v>
      </c>
      <c r="J90" s="1">
        <v>0.1</v>
      </c>
      <c r="K90" s="3">
        <v>1217.0</v>
      </c>
    </row>
    <row r="91">
      <c r="A91" s="1">
        <v>1090.0</v>
      </c>
      <c r="B91" s="2">
        <v>44974.0</v>
      </c>
      <c r="C91" s="1" t="s">
        <v>21</v>
      </c>
      <c r="D91" s="1" t="s">
        <v>22</v>
      </c>
      <c r="E91" s="1" t="s">
        <v>13</v>
      </c>
      <c r="F91" s="1" t="s">
        <v>27</v>
      </c>
      <c r="G91" s="1" t="s">
        <v>15</v>
      </c>
      <c r="H91" s="3">
        <v>11156.0</v>
      </c>
      <c r="I91" s="1">
        <v>1.0</v>
      </c>
      <c r="J91" s="1">
        <v>0.06</v>
      </c>
      <c r="K91" s="3">
        <v>2762.0</v>
      </c>
    </row>
    <row r="92">
      <c r="A92" s="1">
        <v>1091.0</v>
      </c>
      <c r="B92" s="2">
        <v>44993.0</v>
      </c>
      <c r="C92" s="1" t="s">
        <v>25</v>
      </c>
      <c r="D92" s="1" t="s">
        <v>26</v>
      </c>
      <c r="E92" s="1" t="s">
        <v>18</v>
      </c>
      <c r="F92" s="1" t="s">
        <v>19</v>
      </c>
      <c r="G92" s="1" t="s">
        <v>28</v>
      </c>
      <c r="H92" s="3">
        <v>7797.0</v>
      </c>
      <c r="I92" s="1">
        <v>1.0</v>
      </c>
      <c r="J92" s="1">
        <v>0.12</v>
      </c>
      <c r="K92" s="3">
        <v>1870.0</v>
      </c>
    </row>
    <row r="93">
      <c r="A93" s="1">
        <v>1092.0</v>
      </c>
      <c r="B93" s="2">
        <v>45015.0</v>
      </c>
      <c r="C93" s="1" t="s">
        <v>11</v>
      </c>
      <c r="D93" s="1" t="s">
        <v>29</v>
      </c>
      <c r="E93" s="1" t="s">
        <v>13</v>
      </c>
      <c r="F93" s="1" t="s">
        <v>34</v>
      </c>
      <c r="G93" s="1" t="s">
        <v>15</v>
      </c>
      <c r="H93" s="3">
        <v>3747.0</v>
      </c>
      <c r="I93" s="1">
        <v>1.0</v>
      </c>
      <c r="J93" s="1">
        <v>0.07</v>
      </c>
      <c r="K93" s="3">
        <v>1364.0</v>
      </c>
    </row>
    <row r="94">
      <c r="A94" s="1">
        <v>1093.0</v>
      </c>
      <c r="B94" s="2">
        <v>45014.0</v>
      </c>
      <c r="C94" s="1" t="s">
        <v>16</v>
      </c>
      <c r="D94" s="1" t="s">
        <v>17</v>
      </c>
      <c r="E94" s="1" t="s">
        <v>18</v>
      </c>
      <c r="F94" s="1" t="s">
        <v>36</v>
      </c>
      <c r="G94" s="1" t="s">
        <v>20</v>
      </c>
      <c r="H94" s="3">
        <v>20276.0</v>
      </c>
      <c r="I94" s="1">
        <v>1.0</v>
      </c>
      <c r="J94" s="1">
        <v>0.18</v>
      </c>
      <c r="K94" s="3">
        <v>3408.0</v>
      </c>
    </row>
    <row r="95">
      <c r="A95" s="1">
        <v>1094.0</v>
      </c>
      <c r="B95" s="2">
        <v>44933.0</v>
      </c>
      <c r="C95" s="1" t="s">
        <v>21</v>
      </c>
      <c r="D95" s="1" t="s">
        <v>33</v>
      </c>
      <c r="E95" s="1" t="s">
        <v>23</v>
      </c>
      <c r="F95" s="1" t="s">
        <v>37</v>
      </c>
      <c r="G95" s="1" t="s">
        <v>15</v>
      </c>
      <c r="H95" s="3">
        <v>7744.0</v>
      </c>
      <c r="I95" s="1">
        <v>1.0</v>
      </c>
      <c r="J95" s="1">
        <v>0.09</v>
      </c>
      <c r="K95" s="3">
        <v>1555.0</v>
      </c>
    </row>
    <row r="96">
      <c r="A96" s="1">
        <v>1095.0</v>
      </c>
      <c r="B96" s="2">
        <v>44932.0</v>
      </c>
      <c r="C96" s="1" t="s">
        <v>25</v>
      </c>
      <c r="D96" s="1" t="s">
        <v>26</v>
      </c>
      <c r="E96" s="1" t="s">
        <v>13</v>
      </c>
      <c r="F96" s="1" t="s">
        <v>27</v>
      </c>
      <c r="G96" s="1" t="s">
        <v>28</v>
      </c>
      <c r="H96" s="3">
        <v>3079.0</v>
      </c>
      <c r="I96" s="1">
        <v>1.0</v>
      </c>
      <c r="J96" s="1">
        <v>0.06</v>
      </c>
      <c r="K96" s="3">
        <v>266.0</v>
      </c>
    </row>
    <row r="97">
      <c r="A97" s="1">
        <v>1096.0</v>
      </c>
      <c r="B97" s="2">
        <v>45006.0</v>
      </c>
      <c r="C97" s="1" t="s">
        <v>11</v>
      </c>
      <c r="D97" s="1" t="s">
        <v>12</v>
      </c>
      <c r="E97" s="1" t="s">
        <v>18</v>
      </c>
      <c r="F97" s="1" t="s">
        <v>19</v>
      </c>
      <c r="G97" s="1" t="s">
        <v>15</v>
      </c>
      <c r="H97" s="3">
        <v>3866.0</v>
      </c>
      <c r="I97" s="1">
        <v>1.0</v>
      </c>
      <c r="J97" s="1">
        <v>0.1</v>
      </c>
      <c r="K97" s="3">
        <v>319.0</v>
      </c>
    </row>
    <row r="98">
      <c r="A98" s="1">
        <v>1097.0</v>
      </c>
      <c r="B98" s="2">
        <v>44971.0</v>
      </c>
      <c r="C98" s="1" t="s">
        <v>16</v>
      </c>
      <c r="D98" s="1" t="s">
        <v>17</v>
      </c>
      <c r="E98" s="1" t="s">
        <v>23</v>
      </c>
      <c r="F98" s="1" t="s">
        <v>39</v>
      </c>
      <c r="G98" s="1" t="s">
        <v>20</v>
      </c>
      <c r="H98" s="3">
        <v>34112.0</v>
      </c>
      <c r="I98" s="1">
        <v>2.0</v>
      </c>
      <c r="J98" s="1">
        <v>0.05</v>
      </c>
      <c r="K98" s="3">
        <v>4857.0</v>
      </c>
    </row>
    <row r="99">
      <c r="A99" s="1">
        <v>1098.0</v>
      </c>
      <c r="B99" s="2">
        <v>44935.0</v>
      </c>
      <c r="C99" s="1" t="s">
        <v>21</v>
      </c>
      <c r="D99" s="1" t="s">
        <v>22</v>
      </c>
      <c r="E99" s="1" t="s">
        <v>13</v>
      </c>
      <c r="F99" s="1" t="s">
        <v>14</v>
      </c>
      <c r="G99" s="1" t="s">
        <v>15</v>
      </c>
      <c r="H99" s="3">
        <v>2693.0</v>
      </c>
      <c r="I99" s="1">
        <v>1.0</v>
      </c>
      <c r="J99" s="1">
        <v>0.08</v>
      </c>
      <c r="K99" s="3">
        <v>431.0</v>
      </c>
    </row>
    <row r="100">
      <c r="A100" s="1">
        <v>1099.0</v>
      </c>
      <c r="B100" s="2">
        <v>44946.0</v>
      </c>
      <c r="C100" s="1" t="s">
        <v>25</v>
      </c>
      <c r="D100" s="1" t="s">
        <v>26</v>
      </c>
      <c r="E100" s="1" t="s">
        <v>18</v>
      </c>
      <c r="F100" s="1" t="s">
        <v>30</v>
      </c>
      <c r="G100" s="1" t="s">
        <v>28</v>
      </c>
      <c r="H100" s="3">
        <v>56944.0</v>
      </c>
      <c r="I100" s="1">
        <v>1.0</v>
      </c>
      <c r="J100" s="1">
        <v>0.14</v>
      </c>
      <c r="K100" s="3">
        <v>6517.0</v>
      </c>
    </row>
    <row r="101">
      <c r="A101" s="1">
        <v>1100.0</v>
      </c>
      <c r="B101" s="2">
        <v>44973.0</v>
      </c>
      <c r="C101" s="1" t="s">
        <v>11</v>
      </c>
      <c r="D101" s="1" t="s">
        <v>29</v>
      </c>
      <c r="E101" s="1" t="s">
        <v>23</v>
      </c>
      <c r="F101" s="1" t="s">
        <v>32</v>
      </c>
      <c r="G101" s="1" t="s">
        <v>15</v>
      </c>
      <c r="H101" s="3">
        <v>4032.0</v>
      </c>
      <c r="I101" s="1">
        <v>2.0</v>
      </c>
      <c r="J101" s="1">
        <v>0.1</v>
      </c>
      <c r="K101" s="3">
        <v>1620.0</v>
      </c>
    </row>
    <row r="102">
      <c r="A102" s="1">
        <v>1101.0</v>
      </c>
      <c r="B102" s="2">
        <v>44969.0</v>
      </c>
      <c r="C102" s="1" t="s">
        <v>16</v>
      </c>
      <c r="D102" s="1" t="s">
        <v>17</v>
      </c>
      <c r="E102" s="1" t="s">
        <v>13</v>
      </c>
      <c r="F102" s="1" t="s">
        <v>38</v>
      </c>
      <c r="G102" s="1" t="s">
        <v>20</v>
      </c>
      <c r="H102" s="3">
        <v>78.0</v>
      </c>
      <c r="I102" s="1">
        <v>2.0</v>
      </c>
      <c r="J102" s="1">
        <v>0.08</v>
      </c>
      <c r="K102" s="3">
        <v>393.0</v>
      </c>
    </row>
    <row r="103">
      <c r="A103" s="1">
        <v>1102.0</v>
      </c>
      <c r="B103" s="2">
        <v>44957.0</v>
      </c>
      <c r="C103" s="1" t="s">
        <v>21</v>
      </c>
      <c r="D103" s="1" t="s">
        <v>33</v>
      </c>
      <c r="E103" s="1" t="s">
        <v>13</v>
      </c>
      <c r="F103" s="1" t="s">
        <v>34</v>
      </c>
      <c r="G103" s="1" t="s">
        <v>15</v>
      </c>
      <c r="H103" s="3">
        <v>19545.0</v>
      </c>
      <c r="I103" s="1">
        <v>1.0</v>
      </c>
      <c r="J103" s="1">
        <v>0.07</v>
      </c>
      <c r="K103" s="3">
        <v>3452.0</v>
      </c>
    </row>
    <row r="104">
      <c r="A104" s="1">
        <v>1103.0</v>
      </c>
      <c r="B104" s="2">
        <v>45015.0</v>
      </c>
      <c r="C104" s="1" t="s">
        <v>25</v>
      </c>
      <c r="D104" s="1" t="s">
        <v>26</v>
      </c>
      <c r="E104" s="1" t="s">
        <v>18</v>
      </c>
      <c r="F104" s="1" t="s">
        <v>36</v>
      </c>
      <c r="G104" s="1" t="s">
        <v>28</v>
      </c>
      <c r="H104" s="3">
        <v>8405.0</v>
      </c>
      <c r="I104" s="1">
        <v>1.0</v>
      </c>
      <c r="J104" s="1">
        <v>0.17</v>
      </c>
      <c r="K104" s="3">
        <v>1784.0</v>
      </c>
    </row>
    <row r="105">
      <c r="A105" s="1">
        <v>1104.0</v>
      </c>
      <c r="B105" s="2">
        <v>45009.0</v>
      </c>
      <c r="C105" s="1" t="s">
        <v>11</v>
      </c>
      <c r="D105" s="1" t="s">
        <v>12</v>
      </c>
      <c r="E105" s="1" t="s">
        <v>23</v>
      </c>
      <c r="F105" s="1" t="s">
        <v>39</v>
      </c>
      <c r="G105" s="1" t="s">
        <v>15</v>
      </c>
      <c r="H105" s="3">
        <v>-382.0</v>
      </c>
      <c r="I105" s="1">
        <v>2.0</v>
      </c>
      <c r="J105" s="1">
        <v>0.05</v>
      </c>
      <c r="K105" s="3">
        <v>677.0</v>
      </c>
    </row>
    <row r="106">
      <c r="A106" s="1">
        <v>1105.0</v>
      </c>
      <c r="B106" s="2">
        <v>44966.0</v>
      </c>
      <c r="C106" s="1" t="s">
        <v>16</v>
      </c>
      <c r="D106" s="1" t="s">
        <v>17</v>
      </c>
      <c r="E106" s="1" t="s">
        <v>13</v>
      </c>
      <c r="F106" s="1" t="s">
        <v>14</v>
      </c>
      <c r="G106" s="1" t="s">
        <v>20</v>
      </c>
      <c r="H106" s="3">
        <v>14342.0</v>
      </c>
      <c r="I106" s="1">
        <v>1.0</v>
      </c>
      <c r="J106" s="1">
        <v>0.09</v>
      </c>
      <c r="K106" s="3">
        <v>3256.0</v>
      </c>
    </row>
    <row r="107">
      <c r="A107" s="1">
        <v>1106.0</v>
      </c>
      <c r="B107" s="2">
        <v>45006.0</v>
      </c>
      <c r="C107" s="1" t="s">
        <v>21</v>
      </c>
      <c r="D107" s="1" t="s">
        <v>22</v>
      </c>
      <c r="E107" s="1" t="s">
        <v>18</v>
      </c>
      <c r="F107" s="1" t="s">
        <v>19</v>
      </c>
      <c r="G107" s="1" t="s">
        <v>15</v>
      </c>
      <c r="H107" s="3">
        <v>30548.0</v>
      </c>
      <c r="I107" s="1">
        <v>1.0</v>
      </c>
      <c r="J107" s="1">
        <v>0.1</v>
      </c>
      <c r="K107" s="3">
        <v>3179.0</v>
      </c>
    </row>
    <row r="108">
      <c r="A108" s="1">
        <v>1107.0</v>
      </c>
      <c r="B108" s="2">
        <v>44963.0</v>
      </c>
      <c r="C108" s="1" t="s">
        <v>25</v>
      </c>
      <c r="D108" s="1" t="s">
        <v>26</v>
      </c>
      <c r="E108" s="1" t="s">
        <v>23</v>
      </c>
      <c r="F108" s="1" t="s">
        <v>24</v>
      </c>
      <c r="G108" s="1" t="s">
        <v>28</v>
      </c>
      <c r="H108" s="3">
        <v>6886.0</v>
      </c>
      <c r="I108" s="1">
        <v>3.0</v>
      </c>
      <c r="J108" s="1">
        <v>0.05</v>
      </c>
      <c r="K108" s="3">
        <v>406.0</v>
      </c>
    </row>
    <row r="109">
      <c r="A109" s="1">
        <v>1108.0</v>
      </c>
      <c r="B109" s="2">
        <v>44935.0</v>
      </c>
      <c r="C109" s="1" t="s">
        <v>11</v>
      </c>
      <c r="D109" s="1" t="s">
        <v>29</v>
      </c>
      <c r="E109" s="1" t="s">
        <v>13</v>
      </c>
      <c r="F109" s="1" t="s">
        <v>27</v>
      </c>
      <c r="G109" s="1" t="s">
        <v>15</v>
      </c>
      <c r="H109" s="3">
        <v>59409.0</v>
      </c>
      <c r="I109" s="1">
        <v>1.0</v>
      </c>
      <c r="J109" s="1">
        <v>0.06</v>
      </c>
      <c r="K109" s="3">
        <v>8169.0</v>
      </c>
    </row>
    <row r="110">
      <c r="A110" s="1">
        <v>1109.0</v>
      </c>
      <c r="B110" s="2">
        <v>44954.0</v>
      </c>
      <c r="C110" s="1" t="s">
        <v>16</v>
      </c>
      <c r="D110" s="1" t="s">
        <v>17</v>
      </c>
      <c r="E110" s="1" t="s">
        <v>18</v>
      </c>
      <c r="F110" s="1" t="s">
        <v>30</v>
      </c>
      <c r="G110" s="1" t="s">
        <v>20</v>
      </c>
      <c r="H110" s="3">
        <v>9333.0</v>
      </c>
      <c r="I110" s="1">
        <v>1.0</v>
      </c>
      <c r="J110" s="1">
        <v>0.15</v>
      </c>
      <c r="K110" s="3">
        <v>1752.0</v>
      </c>
    </row>
    <row r="111">
      <c r="A111" s="1">
        <v>1110.0</v>
      </c>
      <c r="B111" s="2">
        <v>44972.0</v>
      </c>
      <c r="C111" s="1" t="s">
        <v>21</v>
      </c>
      <c r="D111" s="1" t="s">
        <v>33</v>
      </c>
      <c r="E111" s="1" t="s">
        <v>23</v>
      </c>
      <c r="F111" s="1" t="s">
        <v>37</v>
      </c>
      <c r="G111" s="1" t="s">
        <v>15</v>
      </c>
      <c r="H111" s="3">
        <v>3921.0</v>
      </c>
      <c r="I111" s="1">
        <v>1.0</v>
      </c>
      <c r="J111" s="1">
        <v>0.09</v>
      </c>
      <c r="K111" s="3">
        <v>-151.0</v>
      </c>
    </row>
    <row r="112">
      <c r="A112" s="1">
        <v>1111.0</v>
      </c>
      <c r="B112" s="2">
        <v>44984.0</v>
      </c>
      <c r="C112" s="1" t="s">
        <v>25</v>
      </c>
      <c r="D112" s="1" t="s">
        <v>26</v>
      </c>
      <c r="E112" s="1" t="s">
        <v>13</v>
      </c>
      <c r="F112" s="1" t="s">
        <v>34</v>
      </c>
      <c r="G112" s="1" t="s">
        <v>28</v>
      </c>
      <c r="H112" s="3">
        <v>22653.0</v>
      </c>
      <c r="I112" s="1">
        <v>1.0</v>
      </c>
      <c r="J112" s="1">
        <v>0.07</v>
      </c>
      <c r="K112" s="3">
        <v>3437.0</v>
      </c>
    </row>
    <row r="113">
      <c r="A113" s="1">
        <v>1112.0</v>
      </c>
      <c r="B113" s="2">
        <v>44969.0</v>
      </c>
      <c r="C113" s="1" t="s">
        <v>11</v>
      </c>
      <c r="D113" s="1" t="s">
        <v>42</v>
      </c>
      <c r="E113" s="1" t="s">
        <v>13</v>
      </c>
      <c r="F113" s="1" t="s">
        <v>43</v>
      </c>
      <c r="G113" s="1" t="s">
        <v>15</v>
      </c>
      <c r="H113" s="3">
        <v>7169.0</v>
      </c>
      <c r="I113" s="1">
        <v>1.0</v>
      </c>
      <c r="J113" s="1">
        <v>0.1</v>
      </c>
      <c r="K113" s="3">
        <v>925.0</v>
      </c>
    </row>
    <row r="114">
      <c r="A114" s="1">
        <v>1113.0</v>
      </c>
      <c r="B114" s="2">
        <v>44942.0</v>
      </c>
      <c r="C114" s="1" t="s">
        <v>16</v>
      </c>
      <c r="D114" s="1" t="s">
        <v>44</v>
      </c>
      <c r="E114" s="1" t="s">
        <v>18</v>
      </c>
      <c r="F114" s="1" t="s">
        <v>45</v>
      </c>
      <c r="G114" s="1" t="s">
        <v>20</v>
      </c>
      <c r="H114" s="3">
        <v>4998.0</v>
      </c>
      <c r="I114" s="1">
        <v>1.0</v>
      </c>
      <c r="J114" s="1">
        <v>0.15</v>
      </c>
      <c r="K114" s="3">
        <v>796.0</v>
      </c>
    </row>
    <row r="115">
      <c r="A115" s="1">
        <v>1114.0</v>
      </c>
      <c r="B115" s="2">
        <v>45014.0</v>
      </c>
      <c r="C115" s="1" t="s">
        <v>21</v>
      </c>
      <c r="D115" s="1" t="s">
        <v>40</v>
      </c>
      <c r="E115" s="1" t="s">
        <v>23</v>
      </c>
      <c r="F115" s="1" t="s">
        <v>46</v>
      </c>
      <c r="G115" s="1" t="s">
        <v>15</v>
      </c>
      <c r="H115" s="3">
        <v>3494.0</v>
      </c>
      <c r="I115" s="1">
        <v>2.0</v>
      </c>
      <c r="J115" s="1">
        <v>0.08</v>
      </c>
      <c r="K115" s="3">
        <v>189.0</v>
      </c>
    </row>
    <row r="116">
      <c r="A116" s="1">
        <v>1115.0</v>
      </c>
      <c r="B116" s="2">
        <v>44942.0</v>
      </c>
      <c r="C116" s="1" t="s">
        <v>25</v>
      </c>
      <c r="D116" s="1" t="s">
        <v>47</v>
      </c>
      <c r="E116" s="1" t="s">
        <v>13</v>
      </c>
      <c r="F116" s="1" t="s">
        <v>48</v>
      </c>
      <c r="G116" s="1" t="s">
        <v>28</v>
      </c>
      <c r="H116" s="3">
        <v>28659.0</v>
      </c>
      <c r="I116" s="1">
        <v>1.0</v>
      </c>
      <c r="J116" s="1">
        <v>0.12</v>
      </c>
      <c r="K116" s="3">
        <v>3765.0</v>
      </c>
    </row>
    <row r="117">
      <c r="A117" s="1">
        <v>1116.0</v>
      </c>
      <c r="B117" s="2">
        <v>44985.0</v>
      </c>
      <c r="C117" s="1" t="s">
        <v>11</v>
      </c>
      <c r="D117" s="1" t="s">
        <v>41</v>
      </c>
      <c r="E117" s="1" t="s">
        <v>18</v>
      </c>
      <c r="F117" s="1" t="s">
        <v>49</v>
      </c>
      <c r="G117" s="1" t="s">
        <v>15</v>
      </c>
      <c r="H117" s="3">
        <v>3449.0</v>
      </c>
      <c r="I117" s="1">
        <v>1.0</v>
      </c>
      <c r="J117" s="1">
        <v>0.18</v>
      </c>
      <c r="K117" s="3">
        <v>240.0</v>
      </c>
    </row>
    <row r="118">
      <c r="A118" s="1">
        <v>1117.0</v>
      </c>
      <c r="B118" s="2">
        <v>44971.0</v>
      </c>
      <c r="C118" s="1" t="s">
        <v>16</v>
      </c>
      <c r="D118" s="1" t="s">
        <v>17</v>
      </c>
      <c r="E118" s="1" t="s">
        <v>23</v>
      </c>
      <c r="F118" s="1" t="s">
        <v>50</v>
      </c>
      <c r="G118" s="1" t="s">
        <v>20</v>
      </c>
      <c r="H118" s="3">
        <v>16881.0</v>
      </c>
      <c r="I118" s="1">
        <v>2.0</v>
      </c>
      <c r="J118" s="1">
        <v>0.1</v>
      </c>
      <c r="K118" s="3">
        <v>2604.0</v>
      </c>
    </row>
    <row r="119">
      <c r="A119" s="1">
        <v>1118.0</v>
      </c>
      <c r="B119" s="2">
        <v>44960.0</v>
      </c>
      <c r="C119" s="1" t="s">
        <v>21</v>
      </c>
      <c r="D119" s="1" t="s">
        <v>33</v>
      </c>
      <c r="E119" s="1" t="s">
        <v>13</v>
      </c>
      <c r="F119" s="1" t="s">
        <v>51</v>
      </c>
      <c r="G119" s="1" t="s">
        <v>15</v>
      </c>
      <c r="H119" s="3">
        <v>5885.0</v>
      </c>
      <c r="I119" s="1">
        <v>1.0</v>
      </c>
      <c r="J119" s="1">
        <v>0.07</v>
      </c>
      <c r="K119" s="3">
        <v>368.0</v>
      </c>
    </row>
    <row r="120">
      <c r="A120" s="1">
        <v>1119.0</v>
      </c>
      <c r="B120" s="2">
        <v>44973.0</v>
      </c>
      <c r="C120" s="1" t="s">
        <v>25</v>
      </c>
      <c r="D120" s="1" t="s">
        <v>35</v>
      </c>
      <c r="E120" s="1" t="s">
        <v>18</v>
      </c>
      <c r="F120" s="1" t="s">
        <v>52</v>
      </c>
      <c r="G120" s="1" t="s">
        <v>28</v>
      </c>
      <c r="H120" s="3">
        <v>-769.0</v>
      </c>
      <c r="I120" s="1">
        <v>1.0</v>
      </c>
      <c r="J120" s="1">
        <v>0.14</v>
      </c>
      <c r="K120" s="3">
        <v>845.0</v>
      </c>
    </row>
    <row r="121">
      <c r="A121" s="1">
        <v>1120.0</v>
      </c>
      <c r="B121" s="2">
        <v>44972.0</v>
      </c>
      <c r="C121" s="1" t="s">
        <v>11</v>
      </c>
      <c r="D121" s="1" t="s">
        <v>12</v>
      </c>
      <c r="E121" s="1" t="s">
        <v>23</v>
      </c>
      <c r="F121" s="1" t="s">
        <v>39</v>
      </c>
      <c r="G121" s="1" t="s">
        <v>15</v>
      </c>
      <c r="H121" s="3">
        <v>23413.0</v>
      </c>
      <c r="I121" s="1">
        <v>2.0</v>
      </c>
      <c r="J121" s="1">
        <v>0.05</v>
      </c>
      <c r="K121" s="3">
        <v>3914.0</v>
      </c>
    </row>
    <row r="122">
      <c r="A122" s="1">
        <v>1121.0</v>
      </c>
      <c r="B122" s="2">
        <v>44997.0</v>
      </c>
      <c r="C122" s="1" t="s">
        <v>16</v>
      </c>
      <c r="D122" s="1" t="s">
        <v>31</v>
      </c>
      <c r="E122" s="1" t="s">
        <v>13</v>
      </c>
      <c r="F122" s="1" t="s">
        <v>14</v>
      </c>
      <c r="G122" s="1" t="s">
        <v>20</v>
      </c>
      <c r="H122" s="3">
        <v>9562.0</v>
      </c>
      <c r="I122" s="1">
        <v>1.0</v>
      </c>
      <c r="J122" s="1">
        <v>0.09</v>
      </c>
      <c r="K122" s="3">
        <v>1090.0</v>
      </c>
    </row>
    <row r="123">
      <c r="A123" s="1">
        <v>1122.0</v>
      </c>
      <c r="B123" s="2">
        <v>44934.0</v>
      </c>
      <c r="C123" s="1" t="s">
        <v>21</v>
      </c>
      <c r="D123" s="1" t="s">
        <v>22</v>
      </c>
      <c r="E123" s="1" t="s">
        <v>18</v>
      </c>
      <c r="F123" s="1" t="s">
        <v>19</v>
      </c>
      <c r="G123" s="1" t="s">
        <v>15</v>
      </c>
      <c r="H123" s="3">
        <v>4695.0</v>
      </c>
      <c r="I123" s="1">
        <v>1.0</v>
      </c>
      <c r="J123" s="1">
        <v>0.11</v>
      </c>
      <c r="K123" s="3">
        <v>889.0</v>
      </c>
    </row>
    <row r="124">
      <c r="A124" s="1">
        <v>1123.0</v>
      </c>
      <c r="B124" s="2">
        <v>44950.0</v>
      </c>
      <c r="C124" s="1" t="s">
        <v>25</v>
      </c>
      <c r="D124" s="1" t="s">
        <v>26</v>
      </c>
      <c r="E124" s="1" t="s">
        <v>23</v>
      </c>
      <c r="F124" s="1" t="s">
        <v>32</v>
      </c>
      <c r="G124" s="1" t="s">
        <v>28</v>
      </c>
      <c r="H124" s="3">
        <v>20490.0</v>
      </c>
      <c r="I124" s="1">
        <v>2.0</v>
      </c>
      <c r="J124" s="1">
        <v>0.08</v>
      </c>
      <c r="K124" s="3">
        <v>3409.0</v>
      </c>
    </row>
    <row r="125">
      <c r="A125" s="1">
        <v>1124.0</v>
      </c>
      <c r="B125" s="2">
        <v>44965.0</v>
      </c>
      <c r="C125" s="1" t="s">
        <v>11</v>
      </c>
      <c r="D125" s="1" t="s">
        <v>29</v>
      </c>
      <c r="E125" s="1" t="s">
        <v>13</v>
      </c>
      <c r="F125" s="1" t="s">
        <v>27</v>
      </c>
      <c r="G125" s="1" t="s">
        <v>15</v>
      </c>
      <c r="H125" s="3">
        <v>12926.0</v>
      </c>
      <c r="I125" s="1">
        <v>1.0</v>
      </c>
      <c r="J125" s="1">
        <v>0.06</v>
      </c>
      <c r="K125" s="3">
        <v>1816.0</v>
      </c>
    </row>
    <row r="126">
      <c r="A126" s="1">
        <v>1125.0</v>
      </c>
      <c r="B126" s="2">
        <v>44973.0</v>
      </c>
      <c r="C126" s="1" t="s">
        <v>16</v>
      </c>
      <c r="D126" s="1" t="s">
        <v>17</v>
      </c>
      <c r="E126" s="1" t="s">
        <v>18</v>
      </c>
      <c r="F126" s="1" t="s">
        <v>36</v>
      </c>
      <c r="G126" s="1" t="s">
        <v>20</v>
      </c>
      <c r="H126" s="3">
        <v>485.0</v>
      </c>
      <c r="I126" s="1">
        <v>1.0</v>
      </c>
      <c r="J126" s="1">
        <v>0.2</v>
      </c>
      <c r="K126" s="3">
        <v>681.0</v>
      </c>
    </row>
    <row r="127">
      <c r="A127" s="1">
        <v>1126.0</v>
      </c>
      <c r="B127" s="2">
        <v>44987.0</v>
      </c>
      <c r="C127" s="1" t="s">
        <v>21</v>
      </c>
      <c r="D127" s="1" t="s">
        <v>40</v>
      </c>
      <c r="E127" s="1" t="s">
        <v>23</v>
      </c>
      <c r="F127" s="1" t="s">
        <v>37</v>
      </c>
      <c r="G127" s="1" t="s">
        <v>15</v>
      </c>
      <c r="H127" s="3">
        <v>13303.0</v>
      </c>
      <c r="I127" s="1">
        <v>1.0</v>
      </c>
      <c r="J127" s="1">
        <v>0.1</v>
      </c>
      <c r="K127" s="3">
        <v>2282.0</v>
      </c>
    </row>
    <row r="128">
      <c r="A128" s="1">
        <v>1127.0</v>
      </c>
      <c r="B128" s="2">
        <v>44943.0</v>
      </c>
      <c r="C128" s="1" t="s">
        <v>25</v>
      </c>
      <c r="D128" s="1" t="s">
        <v>53</v>
      </c>
      <c r="E128" s="1" t="s">
        <v>13</v>
      </c>
      <c r="F128" s="1" t="s">
        <v>34</v>
      </c>
      <c r="G128" s="1" t="s">
        <v>28</v>
      </c>
      <c r="H128" s="3">
        <v>30257.0</v>
      </c>
      <c r="I128" s="1">
        <v>1.0</v>
      </c>
      <c r="J128" s="1">
        <v>0.07</v>
      </c>
      <c r="K128" s="3">
        <v>3337.0</v>
      </c>
    </row>
    <row r="129">
      <c r="A129" s="1">
        <v>1128.0</v>
      </c>
      <c r="B129" s="2">
        <v>44967.0</v>
      </c>
      <c r="C129" s="1" t="s">
        <v>11</v>
      </c>
      <c r="D129" s="1" t="s">
        <v>42</v>
      </c>
      <c r="E129" s="1" t="s">
        <v>18</v>
      </c>
      <c r="F129" s="1" t="s">
        <v>30</v>
      </c>
      <c r="G129" s="1" t="s">
        <v>15</v>
      </c>
      <c r="H129" s="3">
        <v>2260.0</v>
      </c>
      <c r="I129" s="1">
        <v>1.0</v>
      </c>
      <c r="J129" s="1">
        <v>0.13</v>
      </c>
      <c r="K129" s="3">
        <v>1553.0</v>
      </c>
    </row>
    <row r="130">
      <c r="A130" s="1">
        <v>1129.0</v>
      </c>
      <c r="B130" s="2">
        <v>45008.0</v>
      </c>
      <c r="C130" s="1" t="s">
        <v>16</v>
      </c>
      <c r="D130" s="1" t="s">
        <v>44</v>
      </c>
      <c r="E130" s="1" t="s">
        <v>23</v>
      </c>
      <c r="F130" s="1" t="s">
        <v>24</v>
      </c>
      <c r="G130" s="1" t="s">
        <v>20</v>
      </c>
      <c r="H130" s="3">
        <v>58426.0</v>
      </c>
      <c r="I130" s="1">
        <v>3.0</v>
      </c>
      <c r="J130" s="1">
        <v>0.05</v>
      </c>
      <c r="K130" s="3">
        <v>7461.0</v>
      </c>
    </row>
    <row r="131">
      <c r="A131" s="1">
        <v>1130.0</v>
      </c>
      <c r="B131" s="2">
        <v>44979.0</v>
      </c>
      <c r="C131" s="1" t="s">
        <v>21</v>
      </c>
      <c r="D131" s="1" t="s">
        <v>33</v>
      </c>
      <c r="E131" s="1" t="s">
        <v>13</v>
      </c>
      <c r="F131" s="1" t="s">
        <v>38</v>
      </c>
      <c r="G131" s="1" t="s">
        <v>15</v>
      </c>
      <c r="H131" s="3">
        <v>8353.0</v>
      </c>
      <c r="I131" s="1">
        <v>2.0</v>
      </c>
      <c r="J131" s="1">
        <v>0.08</v>
      </c>
      <c r="K131" s="3">
        <v>871.0</v>
      </c>
    </row>
    <row r="132">
      <c r="A132" s="1">
        <v>1131.0</v>
      </c>
      <c r="B132" s="2">
        <v>44950.0</v>
      </c>
      <c r="C132" s="1" t="s">
        <v>25</v>
      </c>
      <c r="D132" s="1" t="s">
        <v>26</v>
      </c>
      <c r="E132" s="1" t="s">
        <v>18</v>
      </c>
      <c r="F132" s="1" t="s">
        <v>19</v>
      </c>
      <c r="G132" s="1" t="s">
        <v>28</v>
      </c>
      <c r="H132" s="3">
        <v>-375.0</v>
      </c>
      <c r="I132" s="1">
        <v>1.0</v>
      </c>
      <c r="J132" s="1">
        <v>0.1</v>
      </c>
      <c r="K132" s="3">
        <v>-140.0</v>
      </c>
    </row>
    <row r="133">
      <c r="A133" s="1">
        <v>1132.0</v>
      </c>
      <c r="B133" s="2">
        <v>45016.0</v>
      </c>
      <c r="C133" s="1" t="s">
        <v>11</v>
      </c>
      <c r="D133" s="1" t="s">
        <v>12</v>
      </c>
      <c r="E133" s="1" t="s">
        <v>23</v>
      </c>
      <c r="F133" s="1" t="s">
        <v>46</v>
      </c>
      <c r="G133" s="1" t="s">
        <v>15</v>
      </c>
      <c r="H133" s="3">
        <v>20470.0</v>
      </c>
      <c r="I133" s="1">
        <v>2.0</v>
      </c>
      <c r="J133" s="1">
        <v>0.07</v>
      </c>
      <c r="K133" s="3">
        <v>2589.0</v>
      </c>
    </row>
    <row r="134">
      <c r="A134" s="1">
        <v>1133.0</v>
      </c>
      <c r="B134" s="2">
        <v>44938.0</v>
      </c>
      <c r="C134" s="1" t="s">
        <v>16</v>
      </c>
      <c r="D134" s="1" t="s">
        <v>17</v>
      </c>
      <c r="E134" s="1" t="s">
        <v>13</v>
      </c>
      <c r="F134" s="1" t="s">
        <v>43</v>
      </c>
      <c r="G134" s="1" t="s">
        <v>20</v>
      </c>
      <c r="H134" s="3">
        <v>9806.0</v>
      </c>
      <c r="I134" s="1">
        <v>1.0</v>
      </c>
      <c r="J134" s="1">
        <v>0.09</v>
      </c>
      <c r="K134" s="3">
        <v>901.0</v>
      </c>
    </row>
    <row r="135">
      <c r="A135" s="1">
        <v>1134.0</v>
      </c>
      <c r="B135" s="2">
        <v>45006.0</v>
      </c>
      <c r="C135" s="1" t="s">
        <v>21</v>
      </c>
      <c r="D135" s="1" t="s">
        <v>22</v>
      </c>
      <c r="E135" s="1" t="s">
        <v>18</v>
      </c>
      <c r="F135" s="1" t="s">
        <v>45</v>
      </c>
      <c r="G135" s="1" t="s">
        <v>15</v>
      </c>
      <c r="H135" s="3">
        <v>3589.0</v>
      </c>
      <c r="I135" s="1">
        <v>1.0</v>
      </c>
      <c r="J135" s="1">
        <v>0.15</v>
      </c>
      <c r="K135" s="3">
        <v>-46.0</v>
      </c>
    </row>
    <row r="136">
      <c r="A136" s="1">
        <v>1135.0</v>
      </c>
      <c r="B136" s="2">
        <v>44989.0</v>
      </c>
      <c r="C136" s="1" t="s">
        <v>25</v>
      </c>
      <c r="D136" s="1" t="s">
        <v>47</v>
      </c>
      <c r="E136" s="1" t="s">
        <v>23</v>
      </c>
      <c r="F136" s="1" t="s">
        <v>50</v>
      </c>
      <c r="G136" s="1" t="s">
        <v>28</v>
      </c>
      <c r="H136" s="3">
        <v>5106.0</v>
      </c>
      <c r="I136" s="1">
        <v>2.0</v>
      </c>
      <c r="J136" s="1">
        <v>0.1</v>
      </c>
      <c r="K136" s="3">
        <v>152.0</v>
      </c>
    </row>
    <row r="137">
      <c r="A137" s="1">
        <v>1136.0</v>
      </c>
      <c r="B137" s="2">
        <v>44935.0</v>
      </c>
      <c r="C137" s="1" t="s">
        <v>11</v>
      </c>
      <c r="D137" s="1" t="s">
        <v>29</v>
      </c>
      <c r="E137" s="1" t="s">
        <v>13</v>
      </c>
      <c r="F137" s="1" t="s">
        <v>48</v>
      </c>
      <c r="G137" s="1" t="s">
        <v>15</v>
      </c>
      <c r="H137" s="3">
        <v>28133.0</v>
      </c>
      <c r="I137" s="1">
        <v>1.0</v>
      </c>
      <c r="J137" s="1">
        <v>0.11</v>
      </c>
      <c r="K137" s="3">
        <v>3506.0</v>
      </c>
    </row>
    <row r="138">
      <c r="A138" s="1">
        <v>1137.0</v>
      </c>
      <c r="B138" s="2">
        <v>44957.0</v>
      </c>
      <c r="C138" s="1" t="s">
        <v>16</v>
      </c>
      <c r="D138" s="1" t="s">
        <v>31</v>
      </c>
      <c r="E138" s="1" t="s">
        <v>18</v>
      </c>
      <c r="F138" s="1" t="s">
        <v>52</v>
      </c>
      <c r="G138" s="1" t="s">
        <v>20</v>
      </c>
      <c r="H138" s="3">
        <v>766.0</v>
      </c>
      <c r="I138" s="1">
        <v>1.0</v>
      </c>
      <c r="J138" s="1">
        <v>0.14</v>
      </c>
      <c r="K138" s="3">
        <v>963.0</v>
      </c>
    </row>
    <row r="139">
      <c r="A139" s="1">
        <v>1138.0</v>
      </c>
      <c r="B139" s="2">
        <v>44961.0</v>
      </c>
      <c r="C139" s="1" t="s">
        <v>21</v>
      </c>
      <c r="D139" s="1" t="s">
        <v>40</v>
      </c>
      <c r="E139" s="1" t="s">
        <v>23</v>
      </c>
      <c r="F139" s="1" t="s">
        <v>39</v>
      </c>
      <c r="G139" s="1" t="s">
        <v>15</v>
      </c>
      <c r="H139" s="3">
        <v>15177.0</v>
      </c>
      <c r="I139" s="1">
        <v>2.0</v>
      </c>
      <c r="J139" s="1">
        <v>0.05</v>
      </c>
      <c r="K139" s="3">
        <v>2633.0</v>
      </c>
    </row>
    <row r="140">
      <c r="A140" s="1">
        <v>1139.0</v>
      </c>
      <c r="B140" s="2">
        <v>45008.0</v>
      </c>
      <c r="C140" s="1" t="s">
        <v>25</v>
      </c>
      <c r="D140" s="1" t="s">
        <v>35</v>
      </c>
      <c r="E140" s="1" t="s">
        <v>13</v>
      </c>
      <c r="F140" s="1" t="s">
        <v>51</v>
      </c>
      <c r="G140" s="1" t="s">
        <v>28</v>
      </c>
      <c r="H140" s="3">
        <v>7817.0</v>
      </c>
      <c r="I140" s="1">
        <v>1.0</v>
      </c>
      <c r="J140" s="1">
        <v>0.08</v>
      </c>
      <c r="K140" s="3">
        <v>788.0</v>
      </c>
    </row>
    <row r="141">
      <c r="A141" s="1">
        <v>1140.0</v>
      </c>
      <c r="B141" s="2">
        <v>44994.0</v>
      </c>
      <c r="C141" s="1" t="s">
        <v>11</v>
      </c>
      <c r="D141" s="1" t="s">
        <v>41</v>
      </c>
      <c r="E141" s="1" t="s">
        <v>18</v>
      </c>
      <c r="F141" s="1" t="s">
        <v>49</v>
      </c>
      <c r="G141" s="1" t="s">
        <v>15</v>
      </c>
      <c r="H141" s="3">
        <v>891.0</v>
      </c>
      <c r="I141" s="1">
        <v>1.0</v>
      </c>
      <c r="J141" s="1">
        <v>0.17</v>
      </c>
      <c r="K141" s="3">
        <v>372.0</v>
      </c>
    </row>
    <row r="142">
      <c r="A142" s="1">
        <v>1141.0</v>
      </c>
      <c r="B142" s="2">
        <v>44938.0</v>
      </c>
      <c r="C142" s="1" t="s">
        <v>16</v>
      </c>
      <c r="D142" s="1" t="s">
        <v>17</v>
      </c>
      <c r="E142" s="1" t="s">
        <v>23</v>
      </c>
      <c r="F142" s="1" t="s">
        <v>32</v>
      </c>
      <c r="G142" s="1" t="s">
        <v>20</v>
      </c>
      <c r="H142" s="3">
        <v>23233.0</v>
      </c>
      <c r="I142" s="1">
        <v>2.0</v>
      </c>
      <c r="J142" s="1">
        <v>0.1</v>
      </c>
      <c r="K142" s="3">
        <v>3044.0</v>
      </c>
    </row>
    <row r="143">
      <c r="A143" s="1">
        <v>1142.0</v>
      </c>
      <c r="B143" s="2">
        <v>44990.0</v>
      </c>
      <c r="C143" s="1" t="s">
        <v>21</v>
      </c>
      <c r="D143" s="1" t="s">
        <v>33</v>
      </c>
      <c r="E143" s="1" t="s">
        <v>13</v>
      </c>
      <c r="F143" s="1" t="s">
        <v>27</v>
      </c>
      <c r="G143" s="1" t="s">
        <v>15</v>
      </c>
      <c r="H143" s="3">
        <v>12012.0</v>
      </c>
      <c r="I143" s="1">
        <v>1.0</v>
      </c>
      <c r="J143" s="1">
        <v>0.06</v>
      </c>
      <c r="K143" s="3">
        <v>1738.0</v>
      </c>
    </row>
    <row r="144">
      <c r="A144" s="1">
        <v>1143.0</v>
      </c>
      <c r="B144" s="2">
        <v>44956.0</v>
      </c>
      <c r="C144" s="1" t="s">
        <v>25</v>
      </c>
      <c r="D144" s="1" t="s">
        <v>53</v>
      </c>
      <c r="E144" s="1" t="s">
        <v>18</v>
      </c>
      <c r="F144" s="1" t="s">
        <v>36</v>
      </c>
      <c r="G144" s="1" t="s">
        <v>28</v>
      </c>
      <c r="H144" s="3">
        <v>22775.0</v>
      </c>
      <c r="I144" s="1">
        <v>1.0</v>
      </c>
      <c r="J144" s="1">
        <v>0.18</v>
      </c>
      <c r="K144" s="3">
        <v>3697.0</v>
      </c>
    </row>
    <row r="145">
      <c r="A145" s="1">
        <v>1144.0</v>
      </c>
      <c r="B145" s="2">
        <v>44956.0</v>
      </c>
      <c r="C145" s="1" t="s">
        <v>11</v>
      </c>
      <c r="D145" s="1" t="s">
        <v>12</v>
      </c>
      <c r="E145" s="1" t="s">
        <v>23</v>
      </c>
      <c r="F145" s="1" t="s">
        <v>37</v>
      </c>
      <c r="G145" s="1" t="s">
        <v>15</v>
      </c>
      <c r="H145" s="3">
        <v>3355.0</v>
      </c>
      <c r="I145" s="1">
        <v>1.0</v>
      </c>
      <c r="J145" s="1">
        <v>0.09</v>
      </c>
      <c r="K145" s="3">
        <v>516.0</v>
      </c>
    </row>
    <row r="146">
      <c r="A146" s="1">
        <v>1145.0</v>
      </c>
      <c r="B146" s="2">
        <v>44962.0</v>
      </c>
      <c r="C146" s="1" t="s">
        <v>16</v>
      </c>
      <c r="D146" s="1" t="s">
        <v>44</v>
      </c>
      <c r="E146" s="1" t="s">
        <v>13</v>
      </c>
      <c r="F146" s="1" t="s">
        <v>14</v>
      </c>
      <c r="G146" s="1" t="s">
        <v>20</v>
      </c>
      <c r="H146" s="3">
        <v>2423.0</v>
      </c>
      <c r="I146" s="1">
        <v>1.0</v>
      </c>
      <c r="J146" s="1">
        <v>0.08</v>
      </c>
      <c r="K146" s="3">
        <v>599.0</v>
      </c>
    </row>
    <row r="147">
      <c r="A147" s="1">
        <v>1146.0</v>
      </c>
      <c r="B147" s="2">
        <v>45002.0</v>
      </c>
      <c r="C147" s="1" t="s">
        <v>21</v>
      </c>
      <c r="D147" s="1" t="s">
        <v>22</v>
      </c>
      <c r="E147" s="1" t="s">
        <v>18</v>
      </c>
      <c r="F147" s="1" t="s">
        <v>19</v>
      </c>
      <c r="G147" s="1" t="s">
        <v>15</v>
      </c>
      <c r="H147" s="3">
        <v>51081.0</v>
      </c>
      <c r="I147" s="1">
        <v>1.0</v>
      </c>
      <c r="J147" s="1">
        <v>0.1</v>
      </c>
      <c r="K147" s="3">
        <v>6612.0</v>
      </c>
    </row>
    <row r="148">
      <c r="A148" s="1">
        <v>1147.0</v>
      </c>
      <c r="B148" s="2">
        <v>44952.0</v>
      </c>
      <c r="C148" s="1" t="s">
        <v>25</v>
      </c>
      <c r="D148" s="1" t="s">
        <v>26</v>
      </c>
      <c r="E148" s="1" t="s">
        <v>23</v>
      </c>
      <c r="F148" s="1" t="s">
        <v>24</v>
      </c>
      <c r="G148" s="1" t="s">
        <v>28</v>
      </c>
      <c r="H148" s="3">
        <v>10466.0</v>
      </c>
      <c r="I148" s="1">
        <v>3.0</v>
      </c>
      <c r="J148" s="1">
        <v>0.05</v>
      </c>
      <c r="K148" s="3">
        <v>579.0</v>
      </c>
    </row>
    <row r="149">
      <c r="A149" s="1">
        <v>1148.0</v>
      </c>
      <c r="B149" s="2">
        <v>44935.0</v>
      </c>
      <c r="C149" s="1" t="s">
        <v>11</v>
      </c>
      <c r="D149" s="1" t="s">
        <v>54</v>
      </c>
      <c r="E149" s="1" t="s">
        <v>13</v>
      </c>
      <c r="F149" s="1" t="s">
        <v>43</v>
      </c>
      <c r="G149" s="1" t="s">
        <v>15</v>
      </c>
      <c r="H149" s="3">
        <v>5609.0</v>
      </c>
      <c r="I149" s="1">
        <v>1.0</v>
      </c>
      <c r="J149" s="1">
        <v>0.09</v>
      </c>
      <c r="K149" s="3">
        <v>913.0</v>
      </c>
    </row>
    <row r="150">
      <c r="A150" s="1">
        <v>1149.0</v>
      </c>
      <c r="B150" s="2">
        <v>44990.0</v>
      </c>
      <c r="C150" s="1" t="s">
        <v>16</v>
      </c>
      <c r="D150" s="1" t="s">
        <v>55</v>
      </c>
      <c r="E150" s="1" t="s">
        <v>18</v>
      </c>
      <c r="F150" s="1" t="s">
        <v>45</v>
      </c>
      <c r="G150" s="1" t="s">
        <v>20</v>
      </c>
      <c r="H150" s="3">
        <v>15815.0</v>
      </c>
      <c r="I150" s="1">
        <v>1.0</v>
      </c>
      <c r="J150" s="1">
        <v>0.16</v>
      </c>
      <c r="K150" s="3">
        <v>2701.0</v>
      </c>
    </row>
    <row r="151">
      <c r="A151" s="1">
        <v>1150.0</v>
      </c>
      <c r="B151" s="2">
        <v>44969.0</v>
      </c>
      <c r="C151" s="1" t="s">
        <v>21</v>
      </c>
      <c r="D151" s="1" t="s">
        <v>40</v>
      </c>
      <c r="E151" s="1" t="s">
        <v>23</v>
      </c>
      <c r="F151" s="1" t="s">
        <v>46</v>
      </c>
      <c r="G151" s="1" t="s">
        <v>15</v>
      </c>
      <c r="H151" s="3">
        <v>30234.0</v>
      </c>
      <c r="I151" s="1">
        <v>2.0</v>
      </c>
      <c r="J151" s="1">
        <v>0.07</v>
      </c>
      <c r="K151" s="3">
        <v>3238.0</v>
      </c>
    </row>
    <row r="152">
      <c r="A152" s="1">
        <v>1151.0</v>
      </c>
      <c r="B152" s="2">
        <v>44951.0</v>
      </c>
      <c r="C152" s="1" t="s">
        <v>25</v>
      </c>
      <c r="D152" s="1" t="s">
        <v>56</v>
      </c>
      <c r="E152" s="1" t="s">
        <v>13</v>
      </c>
      <c r="F152" s="1" t="s">
        <v>48</v>
      </c>
      <c r="G152" s="1" t="s">
        <v>28</v>
      </c>
      <c r="H152" s="3">
        <v>7150.0</v>
      </c>
      <c r="I152" s="1">
        <v>1.0</v>
      </c>
      <c r="J152" s="1">
        <v>0.11</v>
      </c>
      <c r="K152" s="3">
        <v>139.0</v>
      </c>
    </row>
    <row r="153">
      <c r="A153" s="1">
        <v>1152.0</v>
      </c>
      <c r="B153" s="2">
        <v>44998.0</v>
      </c>
      <c r="C153" s="1" t="s">
        <v>11</v>
      </c>
      <c r="D153" s="1" t="s">
        <v>12</v>
      </c>
      <c r="E153" s="1" t="s">
        <v>18</v>
      </c>
      <c r="F153" s="1" t="s">
        <v>49</v>
      </c>
      <c r="G153" s="1" t="s">
        <v>15</v>
      </c>
      <c r="H153" s="3">
        <v>5830.0</v>
      </c>
      <c r="I153" s="1">
        <v>1.0</v>
      </c>
      <c r="J153" s="1">
        <v>0.17</v>
      </c>
      <c r="K153" s="3">
        <v>633.0</v>
      </c>
    </row>
    <row r="154">
      <c r="A154" s="1">
        <v>1153.0</v>
      </c>
      <c r="B154" s="2">
        <v>44987.0</v>
      </c>
      <c r="C154" s="1" t="s">
        <v>16</v>
      </c>
      <c r="D154" s="1" t="s">
        <v>17</v>
      </c>
      <c r="E154" s="1" t="s">
        <v>23</v>
      </c>
      <c r="F154" s="1" t="s">
        <v>50</v>
      </c>
      <c r="G154" s="1" t="s">
        <v>20</v>
      </c>
      <c r="H154" s="3">
        <v>10973.0</v>
      </c>
      <c r="I154" s="1">
        <v>2.0</v>
      </c>
      <c r="J154" s="1">
        <v>0.09</v>
      </c>
      <c r="K154" s="3">
        <v>826.0</v>
      </c>
    </row>
    <row r="155">
      <c r="A155" s="1">
        <v>1154.0</v>
      </c>
      <c r="B155" s="2">
        <v>45015.0</v>
      </c>
      <c r="C155" s="1" t="s">
        <v>21</v>
      </c>
      <c r="D155" s="1" t="s">
        <v>33</v>
      </c>
      <c r="E155" s="1" t="s">
        <v>13</v>
      </c>
      <c r="F155" s="1" t="s">
        <v>51</v>
      </c>
      <c r="G155" s="1" t="s">
        <v>15</v>
      </c>
      <c r="H155" s="3">
        <v>-2358.0</v>
      </c>
      <c r="I155" s="1">
        <v>1.0</v>
      </c>
      <c r="J155" s="1">
        <v>0.08</v>
      </c>
      <c r="K155" s="3">
        <v>1329.0</v>
      </c>
    </row>
    <row r="156">
      <c r="A156" s="1">
        <v>1155.0</v>
      </c>
      <c r="B156" s="2">
        <v>44974.0</v>
      </c>
      <c r="C156" s="1" t="s">
        <v>25</v>
      </c>
      <c r="D156" s="1" t="s">
        <v>35</v>
      </c>
      <c r="E156" s="1" t="s">
        <v>18</v>
      </c>
      <c r="F156" s="1" t="s">
        <v>52</v>
      </c>
      <c r="G156" s="1" t="s">
        <v>28</v>
      </c>
      <c r="H156" s="3">
        <v>20168.0</v>
      </c>
      <c r="I156" s="1">
        <v>1.0</v>
      </c>
      <c r="J156" s="1">
        <v>0.13</v>
      </c>
      <c r="K156" s="3">
        <v>2993.0</v>
      </c>
    </row>
    <row r="157">
      <c r="A157" s="1">
        <v>1156.0</v>
      </c>
      <c r="B157" s="2">
        <v>44983.0</v>
      </c>
      <c r="C157" s="1" t="s">
        <v>11</v>
      </c>
      <c r="D157" s="1" t="s">
        <v>29</v>
      </c>
      <c r="E157" s="1" t="s">
        <v>23</v>
      </c>
      <c r="F157" s="1" t="s">
        <v>39</v>
      </c>
      <c r="G157" s="1" t="s">
        <v>15</v>
      </c>
      <c r="H157" s="3">
        <v>8651.0</v>
      </c>
      <c r="I157" s="1">
        <v>2.0</v>
      </c>
      <c r="J157" s="1">
        <v>0.05</v>
      </c>
      <c r="K157" s="3">
        <v>718.0</v>
      </c>
    </row>
    <row r="158">
      <c r="A158" s="1">
        <v>1157.0</v>
      </c>
      <c r="B158" s="2">
        <v>44931.0</v>
      </c>
      <c r="C158" s="1" t="s">
        <v>16</v>
      </c>
      <c r="D158" s="1" t="s">
        <v>31</v>
      </c>
      <c r="E158" s="1" t="s">
        <v>13</v>
      </c>
      <c r="F158" s="1" t="s">
        <v>14</v>
      </c>
      <c r="G158" s="1" t="s">
        <v>20</v>
      </c>
      <c r="H158" s="3">
        <v>3170.0</v>
      </c>
      <c r="I158" s="1">
        <v>1.0</v>
      </c>
      <c r="J158" s="1">
        <v>0.08</v>
      </c>
      <c r="K158" s="3">
        <v>185.0</v>
      </c>
    </row>
    <row r="159">
      <c r="A159" s="1">
        <v>1158.0</v>
      </c>
      <c r="B159" s="2">
        <v>45010.0</v>
      </c>
      <c r="C159" s="1" t="s">
        <v>21</v>
      </c>
      <c r="D159" s="1" t="s">
        <v>22</v>
      </c>
      <c r="E159" s="1" t="s">
        <v>18</v>
      </c>
      <c r="F159" s="1" t="s">
        <v>19</v>
      </c>
      <c r="G159" s="1" t="s">
        <v>15</v>
      </c>
      <c r="H159" s="3">
        <v>52157.0</v>
      </c>
      <c r="I159" s="1">
        <v>1.0</v>
      </c>
      <c r="J159" s="1">
        <v>0.1</v>
      </c>
      <c r="K159" s="3">
        <v>7216.0</v>
      </c>
    </row>
    <row r="160">
      <c r="A160" s="1">
        <v>1159.0</v>
      </c>
      <c r="B160" s="2">
        <v>44929.0</v>
      </c>
      <c r="C160" s="1" t="s">
        <v>25</v>
      </c>
      <c r="D160" s="1" t="s">
        <v>26</v>
      </c>
      <c r="E160" s="1" t="s">
        <v>23</v>
      </c>
      <c r="F160" s="1" t="s">
        <v>32</v>
      </c>
      <c r="G160" s="1" t="s">
        <v>28</v>
      </c>
      <c r="H160" s="3">
        <v>30873.0</v>
      </c>
      <c r="I160" s="1">
        <v>2.0</v>
      </c>
      <c r="J160" s="1">
        <v>0.07</v>
      </c>
      <c r="K160" s="3">
        <v>3197.0</v>
      </c>
    </row>
    <row r="161">
      <c r="A161" s="1">
        <v>1160.0</v>
      </c>
      <c r="B161" s="2">
        <v>44944.0</v>
      </c>
      <c r="C161" s="1" t="s">
        <v>11</v>
      </c>
      <c r="D161" s="1" t="s">
        <v>41</v>
      </c>
      <c r="E161" s="1" t="s">
        <v>13</v>
      </c>
      <c r="F161" s="1" t="s">
        <v>27</v>
      </c>
      <c r="G161" s="1" t="s">
        <v>15</v>
      </c>
      <c r="H161" s="3">
        <v>-3062.0</v>
      </c>
      <c r="I161" s="1">
        <v>1.0</v>
      </c>
      <c r="J161" s="1">
        <v>0.05</v>
      </c>
      <c r="K161" s="3">
        <v>1968.0</v>
      </c>
    </row>
    <row r="162">
      <c r="A162" s="1">
        <v>1161.0</v>
      </c>
      <c r="B162" s="2">
        <v>45013.0</v>
      </c>
      <c r="C162" s="1" t="s">
        <v>16</v>
      </c>
      <c r="D162" s="1" t="s">
        <v>44</v>
      </c>
      <c r="E162" s="1" t="s">
        <v>18</v>
      </c>
      <c r="F162" s="1" t="s">
        <v>36</v>
      </c>
      <c r="G162" s="1" t="s">
        <v>20</v>
      </c>
      <c r="H162" s="3">
        <v>13219.0</v>
      </c>
      <c r="I162" s="1">
        <v>1.0</v>
      </c>
      <c r="J162" s="1">
        <v>0.19</v>
      </c>
      <c r="K162" s="3">
        <v>3273.0</v>
      </c>
    </row>
    <row r="163">
      <c r="A163" s="1">
        <v>1162.0</v>
      </c>
      <c r="B163" s="2">
        <v>44991.0</v>
      </c>
      <c r="C163" s="1" t="s">
        <v>21</v>
      </c>
      <c r="D163" s="1" t="s">
        <v>40</v>
      </c>
      <c r="E163" s="1" t="s">
        <v>23</v>
      </c>
      <c r="F163" s="1" t="s">
        <v>37</v>
      </c>
      <c r="G163" s="1" t="s">
        <v>15</v>
      </c>
      <c r="H163" s="3">
        <v>10568.0</v>
      </c>
      <c r="I163" s="1">
        <v>1.0</v>
      </c>
      <c r="J163" s="1">
        <v>0.09</v>
      </c>
      <c r="K163" s="3">
        <v>1372.0</v>
      </c>
    </row>
    <row r="164">
      <c r="A164" s="1">
        <v>1163.0</v>
      </c>
      <c r="B164" s="2">
        <v>44946.0</v>
      </c>
      <c r="C164" s="1" t="s">
        <v>25</v>
      </c>
      <c r="D164" s="1" t="s">
        <v>53</v>
      </c>
      <c r="E164" s="1" t="s">
        <v>13</v>
      </c>
      <c r="F164" s="1" t="s">
        <v>34</v>
      </c>
      <c r="G164" s="1" t="s">
        <v>28</v>
      </c>
      <c r="H164" s="3">
        <v>2927.0</v>
      </c>
      <c r="I164" s="1">
        <v>1.0</v>
      </c>
      <c r="J164" s="1">
        <v>0.07</v>
      </c>
      <c r="K164" s="3">
        <v>860.0</v>
      </c>
    </row>
    <row r="165">
      <c r="A165" s="1">
        <v>1164.0</v>
      </c>
      <c r="B165" s="2">
        <v>45006.0</v>
      </c>
      <c r="C165" s="1" t="s">
        <v>11</v>
      </c>
      <c r="D165" s="1" t="s">
        <v>42</v>
      </c>
      <c r="E165" s="1" t="s">
        <v>18</v>
      </c>
      <c r="F165" s="1" t="s">
        <v>30</v>
      </c>
      <c r="G165" s="1" t="s">
        <v>15</v>
      </c>
      <c r="H165" s="3">
        <v>18599.0</v>
      </c>
      <c r="I165" s="1">
        <v>1.0</v>
      </c>
      <c r="J165" s="1">
        <v>0.12</v>
      </c>
      <c r="K165" s="3">
        <v>4147.0</v>
      </c>
    </row>
    <row r="166">
      <c r="A166" s="1">
        <v>1165.0</v>
      </c>
      <c r="B166" s="2">
        <v>44950.0</v>
      </c>
      <c r="C166" s="1" t="s">
        <v>16</v>
      </c>
      <c r="D166" s="1" t="s">
        <v>55</v>
      </c>
      <c r="E166" s="1" t="s">
        <v>23</v>
      </c>
      <c r="F166" s="1" t="s">
        <v>24</v>
      </c>
      <c r="G166" s="1" t="s">
        <v>20</v>
      </c>
      <c r="H166" s="3">
        <v>5785.0</v>
      </c>
      <c r="I166" s="1">
        <v>3.0</v>
      </c>
      <c r="J166" s="1">
        <v>0.05</v>
      </c>
      <c r="K166" s="3">
        <v>1900.0</v>
      </c>
    </row>
    <row r="167">
      <c r="A167" s="1">
        <v>1166.0</v>
      </c>
      <c r="B167" s="2">
        <v>45010.0</v>
      </c>
      <c r="C167" s="1" t="s">
        <v>21</v>
      </c>
      <c r="D167" s="1" t="s">
        <v>33</v>
      </c>
      <c r="E167" s="1" t="s">
        <v>13</v>
      </c>
      <c r="F167" s="1" t="s">
        <v>38</v>
      </c>
      <c r="G167" s="1" t="s">
        <v>15</v>
      </c>
      <c r="H167" s="3">
        <v>3322.0</v>
      </c>
      <c r="I167" s="1">
        <v>2.0</v>
      </c>
      <c r="J167" s="1">
        <v>0.08</v>
      </c>
      <c r="K167" s="3">
        <v>931.0</v>
      </c>
    </row>
    <row r="168">
      <c r="A168" s="1">
        <v>1167.0</v>
      </c>
      <c r="B168" s="2">
        <v>44999.0</v>
      </c>
      <c r="C168" s="1" t="s">
        <v>25</v>
      </c>
      <c r="D168" s="1" t="s">
        <v>26</v>
      </c>
      <c r="E168" s="1" t="s">
        <v>18</v>
      </c>
      <c r="F168" s="1" t="s">
        <v>19</v>
      </c>
      <c r="G168" s="1" t="s">
        <v>28</v>
      </c>
      <c r="H168" s="3">
        <v>3064.0</v>
      </c>
      <c r="I168" s="1">
        <v>1.0</v>
      </c>
      <c r="J168" s="1">
        <v>0.1</v>
      </c>
      <c r="K168" s="3">
        <v>-35.0</v>
      </c>
    </row>
    <row r="169">
      <c r="A169" s="1">
        <v>1168.0</v>
      </c>
      <c r="B169" s="2">
        <v>45004.0</v>
      </c>
      <c r="C169" s="1" t="s">
        <v>11</v>
      </c>
      <c r="D169" s="1" t="s">
        <v>12</v>
      </c>
      <c r="E169" s="1" t="s">
        <v>23</v>
      </c>
      <c r="F169" s="1" t="s">
        <v>46</v>
      </c>
      <c r="G169" s="1" t="s">
        <v>15</v>
      </c>
      <c r="H169" s="3">
        <v>35556.0</v>
      </c>
      <c r="I169" s="1">
        <v>2.0</v>
      </c>
      <c r="J169" s="1">
        <v>0.06</v>
      </c>
      <c r="K169" s="3">
        <v>5060.0</v>
      </c>
    </row>
    <row r="170">
      <c r="A170" s="1">
        <v>1169.0</v>
      </c>
      <c r="B170" s="2">
        <v>44997.0</v>
      </c>
      <c r="C170" s="1" t="s">
        <v>16</v>
      </c>
      <c r="D170" s="1" t="s">
        <v>17</v>
      </c>
      <c r="E170" s="1" t="s">
        <v>13</v>
      </c>
      <c r="F170" s="1" t="s">
        <v>43</v>
      </c>
      <c r="G170" s="1" t="s">
        <v>20</v>
      </c>
      <c r="H170" s="3">
        <v>1024.0</v>
      </c>
      <c r="I170" s="1">
        <v>1.0</v>
      </c>
      <c r="J170" s="1">
        <v>0.08</v>
      </c>
      <c r="K170" s="3">
        <v>1112.0</v>
      </c>
    </row>
    <row r="171">
      <c r="A171" s="1">
        <v>1170.0</v>
      </c>
      <c r="B171" s="2">
        <v>44984.0</v>
      </c>
      <c r="C171" s="1" t="s">
        <v>21</v>
      </c>
      <c r="D171" s="1" t="s">
        <v>22</v>
      </c>
      <c r="E171" s="1" t="s">
        <v>18</v>
      </c>
      <c r="F171" s="1" t="s">
        <v>45</v>
      </c>
      <c r="G171" s="1" t="s">
        <v>15</v>
      </c>
      <c r="H171" s="3">
        <v>54581.0</v>
      </c>
      <c r="I171" s="1">
        <v>1.0</v>
      </c>
      <c r="J171" s="1">
        <v>0.15</v>
      </c>
      <c r="K171" s="3">
        <v>5976.0</v>
      </c>
    </row>
    <row r="172">
      <c r="A172" s="1">
        <v>1171.0</v>
      </c>
      <c r="B172" s="2">
        <v>44955.0</v>
      </c>
      <c r="C172" s="1" t="s">
        <v>25</v>
      </c>
      <c r="D172" s="1" t="s">
        <v>56</v>
      </c>
      <c r="E172" s="1" t="s">
        <v>23</v>
      </c>
      <c r="F172" s="1" t="s">
        <v>50</v>
      </c>
      <c r="G172" s="1" t="s">
        <v>28</v>
      </c>
      <c r="H172" s="3">
        <v>4674.0</v>
      </c>
      <c r="I172" s="1">
        <v>2.0</v>
      </c>
      <c r="J172" s="1">
        <v>0.09</v>
      </c>
      <c r="K172" s="3">
        <v>1970.0</v>
      </c>
    </row>
    <row r="173">
      <c r="A173" s="1">
        <v>1172.0</v>
      </c>
      <c r="B173" s="2">
        <v>44993.0</v>
      </c>
      <c r="C173" s="1" t="s">
        <v>11</v>
      </c>
      <c r="D173" s="1" t="s">
        <v>29</v>
      </c>
      <c r="E173" s="1" t="s">
        <v>13</v>
      </c>
      <c r="F173" s="1" t="s">
        <v>48</v>
      </c>
      <c r="G173" s="1" t="s">
        <v>15</v>
      </c>
      <c r="H173" s="3">
        <v>-2362.0</v>
      </c>
      <c r="I173" s="1">
        <v>1.0</v>
      </c>
      <c r="J173" s="1">
        <v>0.1</v>
      </c>
      <c r="K173" s="3">
        <v>444.0</v>
      </c>
    </row>
    <row r="174">
      <c r="A174" s="1">
        <v>1173.0</v>
      </c>
      <c r="B174" s="2">
        <v>45011.0</v>
      </c>
      <c r="C174" s="1" t="s">
        <v>16</v>
      </c>
      <c r="D174" s="1" t="s">
        <v>31</v>
      </c>
      <c r="E174" s="1" t="s">
        <v>18</v>
      </c>
      <c r="F174" s="1" t="s">
        <v>52</v>
      </c>
      <c r="G174" s="1" t="s">
        <v>20</v>
      </c>
      <c r="H174" s="3">
        <v>20492.0</v>
      </c>
      <c r="I174" s="1">
        <v>1.0</v>
      </c>
      <c r="J174" s="1">
        <v>0.13</v>
      </c>
      <c r="K174" s="3">
        <v>3862.0</v>
      </c>
    </row>
    <row r="175">
      <c r="A175" s="1">
        <v>1174.0</v>
      </c>
      <c r="B175" s="2">
        <v>44946.0</v>
      </c>
      <c r="C175" s="1" t="s">
        <v>21</v>
      </c>
      <c r="D175" s="1" t="s">
        <v>40</v>
      </c>
      <c r="E175" s="1" t="s">
        <v>23</v>
      </c>
      <c r="F175" s="1" t="s">
        <v>39</v>
      </c>
      <c r="G175" s="1" t="s">
        <v>15</v>
      </c>
      <c r="H175" s="3">
        <v>11301.0</v>
      </c>
      <c r="I175" s="1">
        <v>2.0</v>
      </c>
      <c r="J175" s="1">
        <v>0.05</v>
      </c>
      <c r="K175" s="3">
        <v>1065.0</v>
      </c>
    </row>
    <row r="176">
      <c r="A176" s="1">
        <v>1175.0</v>
      </c>
      <c r="B176" s="2">
        <v>44928.0</v>
      </c>
      <c r="C176" s="1" t="s">
        <v>25</v>
      </c>
      <c r="D176" s="1" t="s">
        <v>35</v>
      </c>
      <c r="E176" s="1" t="s">
        <v>13</v>
      </c>
      <c r="F176" s="1" t="s">
        <v>51</v>
      </c>
      <c r="G176" s="1" t="s">
        <v>28</v>
      </c>
      <c r="H176" s="3">
        <v>-1717.0</v>
      </c>
      <c r="I176" s="1">
        <v>1.0</v>
      </c>
      <c r="J176" s="1">
        <v>0.07</v>
      </c>
      <c r="K176" s="3">
        <v>271.0</v>
      </c>
    </row>
    <row r="177">
      <c r="A177" s="1">
        <v>1176.0</v>
      </c>
      <c r="B177" s="2">
        <v>44983.0</v>
      </c>
      <c r="C177" s="1" t="s">
        <v>11</v>
      </c>
      <c r="D177" s="1" t="s">
        <v>41</v>
      </c>
      <c r="E177" s="1" t="s">
        <v>18</v>
      </c>
      <c r="F177" s="1" t="s">
        <v>49</v>
      </c>
      <c r="G177" s="1" t="s">
        <v>15</v>
      </c>
      <c r="H177" s="3">
        <v>14011.0</v>
      </c>
      <c r="I177" s="1">
        <v>1.0</v>
      </c>
      <c r="J177" s="1">
        <v>0.16</v>
      </c>
      <c r="K177" s="3">
        <v>4033.0</v>
      </c>
    </row>
    <row r="178">
      <c r="A178" s="1">
        <v>1177.0</v>
      </c>
      <c r="B178" s="2">
        <v>44984.0</v>
      </c>
      <c r="C178" s="1" t="s">
        <v>16</v>
      </c>
      <c r="D178" s="1" t="s">
        <v>17</v>
      </c>
      <c r="E178" s="1" t="s">
        <v>23</v>
      </c>
      <c r="F178" s="1" t="s">
        <v>32</v>
      </c>
      <c r="G178" s="1" t="s">
        <v>20</v>
      </c>
      <c r="H178" s="3">
        <v>30887.0</v>
      </c>
      <c r="I178" s="1">
        <v>2.0</v>
      </c>
      <c r="J178" s="1">
        <v>0.09</v>
      </c>
      <c r="K178" s="3">
        <v>3380.0</v>
      </c>
    </row>
    <row r="179">
      <c r="A179" s="1">
        <v>1178.0</v>
      </c>
      <c r="B179" s="2">
        <v>44991.0</v>
      </c>
      <c r="C179" s="1" t="s">
        <v>21</v>
      </c>
      <c r="D179" s="1" t="s">
        <v>33</v>
      </c>
      <c r="E179" s="1" t="s">
        <v>13</v>
      </c>
      <c r="F179" s="1" t="s">
        <v>27</v>
      </c>
      <c r="G179" s="1" t="s">
        <v>15</v>
      </c>
      <c r="H179" s="3">
        <v>9514.0</v>
      </c>
      <c r="I179" s="1">
        <v>1.0</v>
      </c>
      <c r="J179" s="1">
        <v>0.05</v>
      </c>
      <c r="K179" s="3">
        <v>1003.0</v>
      </c>
    </row>
    <row r="180">
      <c r="A180" s="1">
        <v>1179.0</v>
      </c>
      <c r="B180" s="2">
        <v>44983.0</v>
      </c>
      <c r="C180" s="1" t="s">
        <v>25</v>
      </c>
      <c r="D180" s="1" t="s">
        <v>53</v>
      </c>
      <c r="E180" s="1" t="s">
        <v>18</v>
      </c>
      <c r="F180" s="1" t="s">
        <v>36</v>
      </c>
      <c r="G180" s="1" t="s">
        <v>28</v>
      </c>
      <c r="H180" s="3">
        <v>58430.0</v>
      </c>
      <c r="I180" s="1">
        <v>1.0</v>
      </c>
      <c r="J180" s="1">
        <v>0.18</v>
      </c>
      <c r="K180" s="3">
        <v>8095.0</v>
      </c>
    </row>
    <row r="181">
      <c r="A181" s="1">
        <v>1180.0</v>
      </c>
      <c r="B181" s="2">
        <v>44958.0</v>
      </c>
      <c r="C181" s="1" t="s">
        <v>11</v>
      </c>
      <c r="D181" s="1" t="s">
        <v>12</v>
      </c>
      <c r="E181" s="1" t="s">
        <v>23</v>
      </c>
      <c r="F181" s="1" t="s">
        <v>46</v>
      </c>
      <c r="G181" s="1" t="s">
        <v>15</v>
      </c>
      <c r="H181" s="3">
        <v>6549.0</v>
      </c>
      <c r="I181" s="1">
        <v>2.0</v>
      </c>
      <c r="J181" s="1">
        <v>0.1</v>
      </c>
      <c r="K181" s="3">
        <v>2274.0</v>
      </c>
    </row>
    <row r="182">
      <c r="A182" s="1">
        <v>1181.0</v>
      </c>
      <c r="B182" s="2">
        <v>45003.0</v>
      </c>
      <c r="C182" s="1" t="s">
        <v>16</v>
      </c>
      <c r="D182" s="1" t="s">
        <v>17</v>
      </c>
      <c r="E182" s="1" t="s">
        <v>13</v>
      </c>
      <c r="F182" s="1" t="s">
        <v>43</v>
      </c>
      <c r="G182" s="1" t="s">
        <v>20</v>
      </c>
      <c r="H182" s="3">
        <v>6881.0</v>
      </c>
      <c r="I182" s="1">
        <v>1.0</v>
      </c>
      <c r="J182" s="1">
        <v>0.15</v>
      </c>
      <c r="K182" s="3">
        <v>-596.0</v>
      </c>
    </row>
    <row r="183">
      <c r="A183" s="1">
        <v>1182.0</v>
      </c>
      <c r="B183" s="2">
        <v>44955.0</v>
      </c>
      <c r="C183" s="1" t="s">
        <v>21</v>
      </c>
      <c r="D183" s="1" t="s">
        <v>22</v>
      </c>
      <c r="E183" s="1" t="s">
        <v>18</v>
      </c>
      <c r="F183" s="1" t="s">
        <v>45</v>
      </c>
      <c r="G183" s="1" t="s">
        <v>15</v>
      </c>
      <c r="H183" s="3">
        <v>21329.0</v>
      </c>
      <c r="I183" s="1">
        <v>3.0</v>
      </c>
      <c r="J183" s="1">
        <v>0.05</v>
      </c>
      <c r="K183" s="3">
        <v>2885.0</v>
      </c>
    </row>
    <row r="184">
      <c r="A184" s="1">
        <v>1183.0</v>
      </c>
      <c r="B184" s="2">
        <v>44992.0</v>
      </c>
      <c r="C184" s="1" t="s">
        <v>25</v>
      </c>
      <c r="D184" s="1" t="s">
        <v>47</v>
      </c>
      <c r="E184" s="1" t="s">
        <v>23</v>
      </c>
      <c r="F184" s="1" t="s">
        <v>50</v>
      </c>
      <c r="G184" s="1" t="s">
        <v>28</v>
      </c>
      <c r="H184" s="3">
        <v>9086.0</v>
      </c>
      <c r="I184" s="1">
        <v>1.0</v>
      </c>
      <c r="J184" s="1">
        <v>0.08</v>
      </c>
      <c r="K184" s="3">
        <v>1062.0</v>
      </c>
    </row>
    <row r="185">
      <c r="A185" s="1">
        <v>1184.0</v>
      </c>
      <c r="B185" s="2">
        <v>44950.0</v>
      </c>
      <c r="C185" s="1" t="s">
        <v>11</v>
      </c>
      <c r="D185" s="1" t="s">
        <v>29</v>
      </c>
      <c r="E185" s="1" t="s">
        <v>13</v>
      </c>
      <c r="F185" s="1" t="s">
        <v>48</v>
      </c>
      <c r="G185" s="1" t="s">
        <v>15</v>
      </c>
      <c r="H185" s="3">
        <v>6000.0</v>
      </c>
      <c r="I185" s="1">
        <v>1.0</v>
      </c>
      <c r="J185" s="1">
        <v>0.12</v>
      </c>
      <c r="K185" s="3">
        <v>1449.0</v>
      </c>
    </row>
    <row r="186">
      <c r="A186" s="1">
        <v>1185.0</v>
      </c>
      <c r="B186" s="2">
        <v>45004.0</v>
      </c>
      <c r="C186" s="1" t="s">
        <v>16</v>
      </c>
      <c r="D186" s="1" t="s">
        <v>31</v>
      </c>
      <c r="E186" s="1" t="s">
        <v>18</v>
      </c>
      <c r="F186" s="1" t="s">
        <v>52</v>
      </c>
      <c r="G186" s="1" t="s">
        <v>20</v>
      </c>
      <c r="H186" s="3">
        <v>5269.0</v>
      </c>
      <c r="I186" s="1">
        <v>2.0</v>
      </c>
      <c r="J186" s="1">
        <v>0.1</v>
      </c>
      <c r="K186" s="3">
        <v>842.0</v>
      </c>
    </row>
    <row r="187">
      <c r="A187" s="1">
        <v>1186.0</v>
      </c>
      <c r="B187" s="2">
        <v>44927.0</v>
      </c>
      <c r="C187" s="1" t="s">
        <v>21</v>
      </c>
      <c r="D187" s="1" t="s">
        <v>40</v>
      </c>
      <c r="E187" s="1" t="s">
        <v>23</v>
      </c>
      <c r="F187" s="1" t="s">
        <v>39</v>
      </c>
      <c r="G187" s="1" t="s">
        <v>15</v>
      </c>
      <c r="H187" s="3">
        <v>27052.0</v>
      </c>
      <c r="I187" s="1">
        <v>1.0</v>
      </c>
      <c r="J187" s="1">
        <v>0.07</v>
      </c>
      <c r="K187" s="3">
        <v>4369.0</v>
      </c>
    </row>
    <row r="188">
      <c r="A188" s="1">
        <v>1187.0</v>
      </c>
      <c r="B188" s="2">
        <v>45013.0</v>
      </c>
      <c r="C188" s="1" t="s">
        <v>25</v>
      </c>
      <c r="D188" s="1" t="s">
        <v>35</v>
      </c>
      <c r="E188" s="1" t="s">
        <v>13</v>
      </c>
      <c r="F188" s="1" t="s">
        <v>51</v>
      </c>
      <c r="G188" s="1" t="s">
        <v>28</v>
      </c>
      <c r="H188" s="3">
        <v>4183.0</v>
      </c>
      <c r="I188" s="1">
        <v>1.0</v>
      </c>
      <c r="J188" s="1">
        <v>0.2</v>
      </c>
      <c r="K188" s="3">
        <v>-71.0</v>
      </c>
    </row>
    <row r="189">
      <c r="A189" s="1">
        <v>1188.0</v>
      </c>
      <c r="B189" s="2">
        <v>44944.0</v>
      </c>
      <c r="C189" s="1" t="s">
        <v>11</v>
      </c>
      <c r="D189" s="1" t="s">
        <v>41</v>
      </c>
      <c r="E189" s="1" t="s">
        <v>18</v>
      </c>
      <c r="F189" s="1" t="s">
        <v>49</v>
      </c>
      <c r="G189" s="1" t="s">
        <v>15</v>
      </c>
      <c r="H189" s="3">
        <v>14740.0</v>
      </c>
      <c r="I189" s="1">
        <v>1.0</v>
      </c>
      <c r="J189" s="1">
        <v>0.1</v>
      </c>
      <c r="K189" s="3">
        <v>2046.0</v>
      </c>
    </row>
    <row r="190">
      <c r="A190" s="1">
        <v>1189.0</v>
      </c>
      <c r="B190" s="2">
        <v>44983.0</v>
      </c>
      <c r="C190" s="1" t="s">
        <v>16</v>
      </c>
      <c r="D190" s="1" t="s">
        <v>17</v>
      </c>
      <c r="E190" s="1" t="s">
        <v>23</v>
      </c>
      <c r="F190" s="1" t="s">
        <v>32</v>
      </c>
      <c r="G190" s="1" t="s">
        <v>20</v>
      </c>
      <c r="H190" s="3">
        <v>7194.0</v>
      </c>
      <c r="I190" s="1">
        <v>1.0</v>
      </c>
      <c r="J190" s="1">
        <v>0.05</v>
      </c>
      <c r="K190" s="3">
        <v>513.0</v>
      </c>
    </row>
    <row r="191">
      <c r="A191" s="1">
        <v>1190.0</v>
      </c>
      <c r="B191" s="2">
        <v>45014.0</v>
      </c>
      <c r="C191" s="1" t="s">
        <v>21</v>
      </c>
      <c r="D191" s="1" t="s">
        <v>33</v>
      </c>
      <c r="E191" s="1" t="s">
        <v>13</v>
      </c>
      <c r="F191" s="1" t="s">
        <v>27</v>
      </c>
      <c r="G191" s="1" t="s">
        <v>15</v>
      </c>
      <c r="H191" s="3">
        <v>1259.0</v>
      </c>
      <c r="I191" s="1">
        <v>1.0</v>
      </c>
      <c r="J191" s="1">
        <v>0.1</v>
      </c>
      <c r="K191" s="3">
        <v>293.0</v>
      </c>
    </row>
    <row r="192">
      <c r="A192" s="1">
        <v>1191.0</v>
      </c>
      <c r="B192" s="2">
        <v>44982.0</v>
      </c>
      <c r="C192" s="1" t="s">
        <v>25</v>
      </c>
      <c r="D192" s="1" t="s">
        <v>53</v>
      </c>
      <c r="E192" s="1" t="s">
        <v>18</v>
      </c>
      <c r="F192" s="1" t="s">
        <v>36</v>
      </c>
      <c r="G192" s="1" t="s">
        <v>28</v>
      </c>
      <c r="H192" s="3">
        <v>26352.0</v>
      </c>
      <c r="I192" s="1">
        <v>2.0</v>
      </c>
      <c r="J192" s="1">
        <v>0.05</v>
      </c>
      <c r="K192" s="3">
        <v>3300.0</v>
      </c>
    </row>
    <row r="193">
      <c r="A193" s="1">
        <v>1192.0</v>
      </c>
      <c r="B193" s="2">
        <v>45013.0</v>
      </c>
      <c r="C193" s="1" t="s">
        <v>11</v>
      </c>
      <c r="D193" s="1" t="s">
        <v>12</v>
      </c>
      <c r="E193" s="1" t="s">
        <v>23</v>
      </c>
      <c r="F193" s="1" t="s">
        <v>37</v>
      </c>
      <c r="G193" s="1" t="s">
        <v>15</v>
      </c>
      <c r="H193" s="3">
        <v>12065.0</v>
      </c>
      <c r="I193" s="1">
        <v>2.0</v>
      </c>
      <c r="J193" s="1">
        <v>0.08</v>
      </c>
      <c r="K193" s="3">
        <v>310.0</v>
      </c>
    </row>
    <row r="194">
      <c r="A194" s="1">
        <v>1193.0</v>
      </c>
      <c r="B194" s="2">
        <v>44997.0</v>
      </c>
      <c r="C194" s="1" t="s">
        <v>16</v>
      </c>
      <c r="D194" s="1" t="s">
        <v>44</v>
      </c>
      <c r="E194" s="1" t="s">
        <v>13</v>
      </c>
      <c r="F194" s="1" t="s">
        <v>14</v>
      </c>
      <c r="G194" s="1" t="s">
        <v>20</v>
      </c>
      <c r="H194" s="3">
        <v>7355.0</v>
      </c>
      <c r="I194" s="1">
        <v>1.0</v>
      </c>
      <c r="J194" s="1">
        <v>0.15</v>
      </c>
      <c r="K194" s="3">
        <v>1027.0</v>
      </c>
    </row>
    <row r="195">
      <c r="A195" s="1">
        <v>1194.0</v>
      </c>
      <c r="B195" s="2">
        <v>44933.0</v>
      </c>
      <c r="C195" s="1" t="s">
        <v>21</v>
      </c>
      <c r="D195" s="1" t="s">
        <v>22</v>
      </c>
      <c r="E195" s="1" t="s">
        <v>18</v>
      </c>
      <c r="F195" s="1" t="s">
        <v>19</v>
      </c>
      <c r="G195" s="1" t="s">
        <v>15</v>
      </c>
      <c r="H195" s="3">
        <v>22821.0</v>
      </c>
      <c r="I195" s="1">
        <v>3.0</v>
      </c>
      <c r="J195" s="1">
        <v>0.05</v>
      </c>
      <c r="K195" s="3">
        <v>4144.0</v>
      </c>
    </row>
    <row r="196">
      <c r="A196" s="1">
        <v>1195.0</v>
      </c>
      <c r="B196" s="2">
        <v>44969.0</v>
      </c>
      <c r="C196" s="1" t="s">
        <v>25</v>
      </c>
      <c r="D196" s="1" t="s">
        <v>26</v>
      </c>
      <c r="E196" s="1" t="s">
        <v>23</v>
      </c>
      <c r="F196" s="1" t="s">
        <v>24</v>
      </c>
      <c r="G196" s="1" t="s">
        <v>28</v>
      </c>
      <c r="H196" s="3">
        <v>13771.0</v>
      </c>
      <c r="I196" s="1">
        <v>1.0</v>
      </c>
      <c r="J196" s="1">
        <v>0.1</v>
      </c>
      <c r="K196" s="3">
        <v>1506.0</v>
      </c>
    </row>
    <row r="197">
      <c r="A197" s="1">
        <v>1196.0</v>
      </c>
      <c r="B197" s="2">
        <v>44991.0</v>
      </c>
      <c r="C197" s="1" t="s">
        <v>11</v>
      </c>
      <c r="D197" s="1" t="s">
        <v>54</v>
      </c>
      <c r="E197" s="1" t="s">
        <v>13</v>
      </c>
      <c r="F197" s="1" t="s">
        <v>43</v>
      </c>
      <c r="G197" s="1" t="s">
        <v>15</v>
      </c>
      <c r="H197" s="3">
        <v>1301.0</v>
      </c>
      <c r="I197" s="1">
        <v>1.0</v>
      </c>
      <c r="J197" s="1">
        <v>0.18</v>
      </c>
      <c r="K197" s="3">
        <v>1427.0</v>
      </c>
    </row>
    <row r="198">
      <c r="A198" s="1">
        <v>1197.0</v>
      </c>
      <c r="B198" s="2">
        <v>44959.0</v>
      </c>
      <c r="C198" s="1" t="s">
        <v>16</v>
      </c>
      <c r="D198" s="1" t="s">
        <v>55</v>
      </c>
      <c r="E198" s="1" t="s">
        <v>18</v>
      </c>
      <c r="F198" s="1" t="s">
        <v>45</v>
      </c>
      <c r="G198" s="1" t="s">
        <v>20</v>
      </c>
      <c r="H198" s="3">
        <v>15535.0</v>
      </c>
      <c r="I198" s="1">
        <v>2.0</v>
      </c>
      <c r="J198" s="1">
        <v>0.1</v>
      </c>
      <c r="K198" s="3">
        <v>2052.0</v>
      </c>
    </row>
    <row r="199">
      <c r="A199" s="1">
        <v>1198.0</v>
      </c>
      <c r="B199" s="2">
        <v>45015.0</v>
      </c>
      <c r="C199" s="1" t="s">
        <v>21</v>
      </c>
      <c r="D199" s="1" t="s">
        <v>40</v>
      </c>
      <c r="E199" s="1" t="s">
        <v>23</v>
      </c>
      <c r="F199" s="1" t="s">
        <v>46</v>
      </c>
      <c r="G199" s="1" t="s">
        <v>15</v>
      </c>
      <c r="H199" s="3">
        <v>29328.0</v>
      </c>
      <c r="I199" s="1">
        <v>1.0</v>
      </c>
      <c r="J199" s="1">
        <v>0.06</v>
      </c>
      <c r="K199" s="3">
        <v>4041.0</v>
      </c>
    </row>
    <row r="200">
      <c r="A200" s="1">
        <v>1199.0</v>
      </c>
      <c r="B200" s="2">
        <v>45013.0</v>
      </c>
      <c r="C200" s="1" t="s">
        <v>25</v>
      </c>
      <c r="D200" s="1" t="s">
        <v>56</v>
      </c>
      <c r="E200" s="1" t="s">
        <v>13</v>
      </c>
      <c r="F200" s="1" t="s">
        <v>48</v>
      </c>
      <c r="G200" s="1" t="s">
        <v>28</v>
      </c>
      <c r="H200" s="3">
        <v>-44.0</v>
      </c>
      <c r="I200" s="1">
        <v>1.0</v>
      </c>
      <c r="J200" s="1">
        <v>0.12</v>
      </c>
      <c r="K200" s="3">
        <v>875.0</v>
      </c>
    </row>
    <row r="201">
      <c r="A201" s="1">
        <v>1200.0</v>
      </c>
      <c r="B201" s="2">
        <v>44987.0</v>
      </c>
      <c r="C201" s="1" t="s">
        <v>11</v>
      </c>
      <c r="D201" s="1" t="s">
        <v>12</v>
      </c>
      <c r="E201" s="1" t="s">
        <v>18</v>
      </c>
      <c r="F201" s="1" t="s">
        <v>49</v>
      </c>
      <c r="G201" s="1" t="s">
        <v>15</v>
      </c>
      <c r="H201" s="3">
        <v>61105.0</v>
      </c>
      <c r="I201" s="1">
        <v>1.0</v>
      </c>
      <c r="J201" s="1">
        <v>0.07</v>
      </c>
      <c r="K201" s="3">
        <v>6861.0</v>
      </c>
    </row>
    <row r="202">
      <c r="A202" s="1"/>
      <c r="B202" s="2"/>
      <c r="C202" s="1"/>
      <c r="D202" s="1"/>
      <c r="E202" s="1"/>
      <c r="F202" s="1"/>
      <c r="G202" s="1"/>
      <c r="H202" s="3"/>
      <c r="I202" s="1"/>
      <c r="J202" s="1"/>
      <c r="K202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7" t="s">
        <v>8</v>
      </c>
      <c r="J1" s="8" t="s">
        <v>9</v>
      </c>
      <c r="K1" s="6" t="s">
        <v>10</v>
      </c>
      <c r="L1" s="9" t="s">
        <v>57</v>
      </c>
      <c r="M1" s="9" t="s">
        <v>58</v>
      </c>
      <c r="N1" s="8"/>
    </row>
    <row r="2">
      <c r="A2" s="4">
        <f t="array" ref="A2:G201">IF(Raw_Data!A2:A201="",, Raw_Data!A2:G201)</f>
        <v>1001</v>
      </c>
      <c r="B2" s="5">
        <v>45009.0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6">
        <f t="array" ref="H2:K201">IF(Raw_Data!A2:A201="",, Raw_Data!H2:K201)</f>
        <v>22000</v>
      </c>
      <c r="I2" s="7">
        <v>1.0</v>
      </c>
      <c r="J2" s="8">
        <v>0.08</v>
      </c>
      <c r="K2" s="6">
        <v>3200.0</v>
      </c>
      <c r="L2" s="8">
        <f t="shared" ref="L2:L201" si="1">IFERROR(K2/H2, 0)</f>
        <v>0.1454545455</v>
      </c>
      <c r="M2" s="4" t="str">
        <f t="shared" ref="M2:M201" si="2">IF(AND(H2&gt;0, K2&gt;0, ISNUMBER(B2)), "VALID", "INVALID")</f>
        <v>VALID</v>
      </c>
      <c r="N2" s="8"/>
    </row>
    <row r="3">
      <c r="A3" s="4">
        <v>1002.0</v>
      </c>
      <c r="B3" s="5">
        <v>44998.0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6">
        <v>7000.0</v>
      </c>
      <c r="I3" s="7">
        <v>1.0</v>
      </c>
      <c r="J3" s="8">
        <v>0.15</v>
      </c>
      <c r="K3" s="6">
        <v>1200.0</v>
      </c>
      <c r="L3" s="8">
        <f t="shared" si="1"/>
        <v>0.1714285714</v>
      </c>
      <c r="M3" s="4" t="str">
        <f t="shared" si="2"/>
        <v>VALID</v>
      </c>
      <c r="N3" s="8"/>
    </row>
    <row r="4">
      <c r="A4" s="4">
        <v>1003.0</v>
      </c>
      <c r="B4" s="5">
        <v>44969.0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15</v>
      </c>
      <c r="H4" s="6">
        <v>1500.0</v>
      </c>
      <c r="I4" s="7">
        <v>3.0</v>
      </c>
      <c r="J4" s="8">
        <v>0.05</v>
      </c>
      <c r="K4" s="6">
        <v>400.0</v>
      </c>
      <c r="L4" s="8">
        <f t="shared" si="1"/>
        <v>0.2666666667</v>
      </c>
      <c r="M4" s="4" t="str">
        <f t="shared" si="2"/>
        <v>VALID</v>
      </c>
      <c r="N4" s="8"/>
    </row>
    <row r="5">
      <c r="A5" s="4">
        <v>1004.0</v>
      </c>
      <c r="B5" s="5">
        <v>44970.0</v>
      </c>
      <c r="C5" s="4" t="s">
        <v>25</v>
      </c>
      <c r="D5" s="4" t="s">
        <v>26</v>
      </c>
      <c r="E5" s="4" t="s">
        <v>13</v>
      </c>
      <c r="F5" s="4" t="s">
        <v>27</v>
      </c>
      <c r="G5" s="4" t="s">
        <v>28</v>
      </c>
      <c r="H5" s="6">
        <v>55000.0</v>
      </c>
      <c r="I5" s="7">
        <v>1.0</v>
      </c>
      <c r="J5" s="8">
        <v>0.06</v>
      </c>
      <c r="K5" s="6">
        <v>7000.0</v>
      </c>
      <c r="L5" s="8">
        <f t="shared" si="1"/>
        <v>0.1272727273</v>
      </c>
      <c r="M5" s="4" t="str">
        <f t="shared" si="2"/>
        <v>VALID</v>
      </c>
      <c r="N5" s="8"/>
    </row>
    <row r="6">
      <c r="A6" s="4">
        <v>1005.0</v>
      </c>
      <c r="B6" s="5">
        <v>44986.0</v>
      </c>
      <c r="C6" s="4" t="s">
        <v>11</v>
      </c>
      <c r="D6" s="4" t="s">
        <v>29</v>
      </c>
      <c r="E6" s="4" t="s">
        <v>18</v>
      </c>
      <c r="F6" s="4" t="s">
        <v>30</v>
      </c>
      <c r="G6" s="4" t="s">
        <v>15</v>
      </c>
      <c r="H6" s="6">
        <v>9000.0</v>
      </c>
      <c r="I6" s="7">
        <v>1.0</v>
      </c>
      <c r="J6" s="8">
        <v>0.12</v>
      </c>
      <c r="K6" s="6">
        <v>1500.0</v>
      </c>
      <c r="L6" s="8">
        <f t="shared" si="1"/>
        <v>0.1666666667</v>
      </c>
      <c r="M6" s="4" t="str">
        <f t="shared" si="2"/>
        <v>VALID</v>
      </c>
      <c r="N6" s="8"/>
    </row>
    <row r="7">
      <c r="A7" s="4">
        <v>1006.0</v>
      </c>
      <c r="B7" s="5">
        <v>44960.0</v>
      </c>
      <c r="C7" s="4" t="s">
        <v>16</v>
      </c>
      <c r="D7" s="4" t="s">
        <v>31</v>
      </c>
      <c r="E7" s="4" t="s">
        <v>23</v>
      </c>
      <c r="F7" s="4" t="s">
        <v>32</v>
      </c>
      <c r="G7" s="4" t="s">
        <v>20</v>
      </c>
      <c r="H7" s="6">
        <v>2500.0</v>
      </c>
      <c r="I7" s="7">
        <v>2.0</v>
      </c>
      <c r="J7" s="8">
        <v>0.1</v>
      </c>
      <c r="K7" s="6">
        <v>600.0</v>
      </c>
      <c r="L7" s="8">
        <f t="shared" si="1"/>
        <v>0.24</v>
      </c>
      <c r="M7" s="4" t="str">
        <f t="shared" si="2"/>
        <v>VALID</v>
      </c>
      <c r="N7" s="8"/>
    </row>
    <row r="8">
      <c r="A8" s="4">
        <v>1007.0</v>
      </c>
      <c r="B8" s="5">
        <v>44929.0</v>
      </c>
      <c r="C8" s="4" t="s">
        <v>21</v>
      </c>
      <c r="D8" s="4" t="s">
        <v>33</v>
      </c>
      <c r="E8" s="4" t="s">
        <v>13</v>
      </c>
      <c r="F8" s="4" t="s">
        <v>34</v>
      </c>
      <c r="G8" s="4" t="s">
        <v>15</v>
      </c>
      <c r="H8" s="6">
        <v>15000.0</v>
      </c>
      <c r="I8" s="7">
        <v>1.0</v>
      </c>
      <c r="J8" s="8">
        <v>0.07</v>
      </c>
      <c r="K8" s="6">
        <v>2200.0</v>
      </c>
      <c r="L8" s="8">
        <f t="shared" si="1"/>
        <v>0.1466666667</v>
      </c>
      <c r="M8" s="4" t="str">
        <f t="shared" si="2"/>
        <v>VALID</v>
      </c>
      <c r="N8" s="8"/>
    </row>
    <row r="9">
      <c r="A9" s="4">
        <v>1008.0</v>
      </c>
      <c r="B9" s="5">
        <v>44946.0</v>
      </c>
      <c r="C9" s="4" t="s">
        <v>25</v>
      </c>
      <c r="D9" s="4" t="s">
        <v>35</v>
      </c>
      <c r="E9" s="4" t="s">
        <v>18</v>
      </c>
      <c r="F9" s="4" t="s">
        <v>36</v>
      </c>
      <c r="G9" s="4" t="s">
        <v>28</v>
      </c>
      <c r="H9" s="6">
        <v>30000.0</v>
      </c>
      <c r="I9" s="7">
        <v>1.0</v>
      </c>
      <c r="J9" s="8">
        <v>0.18</v>
      </c>
      <c r="K9" s="6">
        <v>4000.0</v>
      </c>
      <c r="L9" s="8">
        <f t="shared" si="1"/>
        <v>0.1333333333</v>
      </c>
      <c r="M9" s="4" t="str">
        <f t="shared" si="2"/>
        <v>VALID</v>
      </c>
      <c r="N9" s="8"/>
    </row>
    <row r="10">
      <c r="A10" s="4">
        <v>1009.0</v>
      </c>
      <c r="B10" s="5">
        <v>44958.0</v>
      </c>
      <c r="C10" s="4" t="s">
        <v>11</v>
      </c>
      <c r="D10" s="4" t="s">
        <v>12</v>
      </c>
      <c r="E10" s="4" t="s">
        <v>23</v>
      </c>
      <c r="F10" s="4" t="s">
        <v>37</v>
      </c>
      <c r="G10" s="4" t="s">
        <v>15</v>
      </c>
      <c r="H10" s="6">
        <v>3500.0</v>
      </c>
      <c r="I10" s="7">
        <v>1.0</v>
      </c>
      <c r="J10" s="8">
        <v>0.1</v>
      </c>
      <c r="K10" s="6">
        <v>800.0</v>
      </c>
      <c r="L10" s="8">
        <f t="shared" si="1"/>
        <v>0.2285714286</v>
      </c>
      <c r="M10" s="4" t="str">
        <f t="shared" si="2"/>
        <v>VALID</v>
      </c>
      <c r="N10" s="8"/>
    </row>
    <row r="11">
      <c r="A11" s="4">
        <v>1010.0</v>
      </c>
      <c r="B11" s="5">
        <v>44984.0</v>
      </c>
      <c r="C11" s="4" t="s">
        <v>16</v>
      </c>
      <c r="D11" s="4" t="s">
        <v>17</v>
      </c>
      <c r="E11" s="4" t="s">
        <v>13</v>
      </c>
      <c r="F11" s="4" t="s">
        <v>38</v>
      </c>
      <c r="G11" s="4" t="s">
        <v>20</v>
      </c>
      <c r="H11" s="6">
        <v>3000.0</v>
      </c>
      <c r="I11" s="7">
        <v>2.0</v>
      </c>
      <c r="J11" s="8">
        <v>0.08</v>
      </c>
      <c r="K11" s="6">
        <v>600.0</v>
      </c>
      <c r="L11" s="8">
        <f t="shared" si="1"/>
        <v>0.2</v>
      </c>
      <c r="M11" s="4" t="str">
        <f t="shared" si="2"/>
        <v>VALID</v>
      </c>
      <c r="N11" s="8"/>
    </row>
    <row r="12">
      <c r="A12" s="4">
        <v>1011.0</v>
      </c>
      <c r="B12" s="5">
        <v>44948.0</v>
      </c>
      <c r="C12" s="4" t="s">
        <v>21</v>
      </c>
      <c r="D12" s="4" t="s">
        <v>22</v>
      </c>
      <c r="E12" s="4" t="s">
        <v>18</v>
      </c>
      <c r="F12" s="4" t="s">
        <v>19</v>
      </c>
      <c r="G12" s="4" t="s">
        <v>15</v>
      </c>
      <c r="H12" s="6">
        <v>6000.0</v>
      </c>
      <c r="I12" s="7">
        <v>1.0</v>
      </c>
      <c r="J12" s="8">
        <v>0.1</v>
      </c>
      <c r="K12" s="6">
        <v>1000.0</v>
      </c>
      <c r="L12" s="8">
        <f t="shared" si="1"/>
        <v>0.1666666667</v>
      </c>
      <c r="M12" s="4" t="str">
        <f t="shared" si="2"/>
        <v>VALID</v>
      </c>
      <c r="N12" s="8"/>
    </row>
    <row r="13">
      <c r="A13" s="4">
        <v>1012.0</v>
      </c>
      <c r="B13" s="5">
        <v>44934.0</v>
      </c>
      <c r="C13" s="4" t="s">
        <v>25</v>
      </c>
      <c r="D13" s="4" t="s">
        <v>26</v>
      </c>
      <c r="E13" s="4" t="s">
        <v>23</v>
      </c>
      <c r="F13" s="4" t="s">
        <v>39</v>
      </c>
      <c r="G13" s="4" t="s">
        <v>28</v>
      </c>
      <c r="H13" s="6">
        <v>1200.0</v>
      </c>
      <c r="I13" s="7">
        <v>2.0</v>
      </c>
      <c r="J13" s="8">
        <v>0.05</v>
      </c>
      <c r="K13" s="6">
        <v>300.0</v>
      </c>
      <c r="L13" s="8">
        <f t="shared" si="1"/>
        <v>0.25</v>
      </c>
      <c r="M13" s="4" t="str">
        <f t="shared" si="2"/>
        <v>VALID</v>
      </c>
      <c r="N13" s="8"/>
    </row>
    <row r="14">
      <c r="A14" s="4">
        <v>1013.0</v>
      </c>
      <c r="B14" s="5">
        <v>44992.0</v>
      </c>
      <c r="C14" s="4" t="s">
        <v>11</v>
      </c>
      <c r="D14" s="4" t="s">
        <v>29</v>
      </c>
      <c r="E14" s="4" t="s">
        <v>13</v>
      </c>
      <c r="F14" s="4" t="s">
        <v>14</v>
      </c>
      <c r="G14" s="4" t="s">
        <v>15</v>
      </c>
      <c r="H14" s="6">
        <v>21000.0</v>
      </c>
      <c r="I14" s="7">
        <v>1.0</v>
      </c>
      <c r="J14" s="8">
        <v>0.09</v>
      </c>
      <c r="K14" s="6">
        <v>3100.0</v>
      </c>
      <c r="L14" s="8">
        <f t="shared" si="1"/>
        <v>0.1476190476</v>
      </c>
      <c r="M14" s="4" t="str">
        <f t="shared" si="2"/>
        <v>VALID</v>
      </c>
      <c r="N14" s="8"/>
    </row>
    <row r="15">
      <c r="A15" s="4">
        <v>1014.0</v>
      </c>
      <c r="B15" s="5">
        <v>44941.0</v>
      </c>
      <c r="C15" s="4" t="s">
        <v>16</v>
      </c>
      <c r="D15" s="4" t="s">
        <v>17</v>
      </c>
      <c r="E15" s="4" t="s">
        <v>18</v>
      </c>
      <c r="F15" s="4" t="s">
        <v>30</v>
      </c>
      <c r="G15" s="4" t="s">
        <v>20</v>
      </c>
      <c r="H15" s="6">
        <v>9500.0</v>
      </c>
      <c r="I15" s="7">
        <v>1.0</v>
      </c>
      <c r="J15" s="8">
        <v>0.15</v>
      </c>
      <c r="K15" s="6">
        <v>1400.0</v>
      </c>
      <c r="L15" s="8">
        <f t="shared" si="1"/>
        <v>0.1473684211</v>
      </c>
      <c r="M15" s="4" t="str">
        <f t="shared" si="2"/>
        <v>VALID</v>
      </c>
      <c r="N15" s="8"/>
    </row>
    <row r="16">
      <c r="A16" s="4">
        <v>1015.0</v>
      </c>
      <c r="B16" s="5">
        <v>44977.0</v>
      </c>
      <c r="C16" s="4" t="s">
        <v>21</v>
      </c>
      <c r="D16" s="4" t="s">
        <v>33</v>
      </c>
      <c r="E16" s="4" t="s">
        <v>23</v>
      </c>
      <c r="F16" s="4" t="s">
        <v>24</v>
      </c>
      <c r="G16" s="4" t="s">
        <v>15</v>
      </c>
      <c r="H16" s="6">
        <v>1600.0</v>
      </c>
      <c r="I16" s="7">
        <v>3.0</v>
      </c>
      <c r="J16" s="8">
        <v>0.05</v>
      </c>
      <c r="K16" s="6">
        <v>450.0</v>
      </c>
      <c r="L16" s="8">
        <f t="shared" si="1"/>
        <v>0.28125</v>
      </c>
      <c r="M16" s="4" t="str">
        <f t="shared" si="2"/>
        <v>VALID</v>
      </c>
      <c r="N16" s="8"/>
    </row>
    <row r="17">
      <c r="A17" s="4">
        <v>1016.0</v>
      </c>
      <c r="B17" s="5">
        <v>44994.0</v>
      </c>
      <c r="C17" s="4" t="s">
        <v>25</v>
      </c>
      <c r="D17" s="4" t="s">
        <v>26</v>
      </c>
      <c r="E17" s="4" t="s">
        <v>13</v>
      </c>
      <c r="F17" s="4" t="s">
        <v>27</v>
      </c>
      <c r="G17" s="4" t="s">
        <v>28</v>
      </c>
      <c r="H17" s="6">
        <v>52000.0</v>
      </c>
      <c r="I17" s="7">
        <v>1.0</v>
      </c>
      <c r="J17" s="8">
        <v>0.06</v>
      </c>
      <c r="K17" s="6">
        <v>6800.0</v>
      </c>
      <c r="L17" s="8">
        <f t="shared" si="1"/>
        <v>0.1307692308</v>
      </c>
      <c r="M17" s="4" t="str">
        <f t="shared" si="2"/>
        <v>VALID</v>
      </c>
      <c r="N17" s="8"/>
    </row>
    <row r="18">
      <c r="A18" s="4">
        <v>1017.0</v>
      </c>
      <c r="B18" s="5">
        <v>44959.0</v>
      </c>
      <c r="C18" s="4" t="s">
        <v>11</v>
      </c>
      <c r="D18" s="4" t="s">
        <v>12</v>
      </c>
      <c r="E18" s="4" t="s">
        <v>18</v>
      </c>
      <c r="F18" s="4" t="s">
        <v>36</v>
      </c>
      <c r="G18" s="4" t="s">
        <v>15</v>
      </c>
      <c r="H18" s="6">
        <v>28000.0</v>
      </c>
      <c r="I18" s="7">
        <v>1.0</v>
      </c>
      <c r="J18" s="8">
        <v>0.17</v>
      </c>
      <c r="K18" s="6">
        <v>3500.0</v>
      </c>
      <c r="L18" s="8">
        <f t="shared" si="1"/>
        <v>0.125</v>
      </c>
      <c r="M18" s="4" t="str">
        <f t="shared" si="2"/>
        <v>VALID</v>
      </c>
      <c r="N18" s="8"/>
    </row>
    <row r="19">
      <c r="A19" s="4">
        <v>1018.0</v>
      </c>
      <c r="B19" s="5">
        <v>44954.0</v>
      </c>
      <c r="C19" s="4" t="s">
        <v>16</v>
      </c>
      <c r="D19" s="4" t="s">
        <v>17</v>
      </c>
      <c r="E19" s="4" t="s">
        <v>23</v>
      </c>
      <c r="F19" s="4" t="s">
        <v>32</v>
      </c>
      <c r="G19" s="4" t="s">
        <v>20</v>
      </c>
      <c r="H19" s="6">
        <v>2600.0</v>
      </c>
      <c r="I19" s="7">
        <v>2.0</v>
      </c>
      <c r="J19" s="8">
        <v>0.1</v>
      </c>
      <c r="K19" s="6">
        <v>650.0</v>
      </c>
      <c r="L19" s="8">
        <f t="shared" si="1"/>
        <v>0.25</v>
      </c>
      <c r="M19" s="4" t="str">
        <f t="shared" si="2"/>
        <v>VALID</v>
      </c>
      <c r="N19" s="8"/>
    </row>
    <row r="20">
      <c r="A20" s="4">
        <v>1019.0</v>
      </c>
      <c r="B20" s="5">
        <v>44997.0</v>
      </c>
      <c r="C20" s="4" t="s">
        <v>21</v>
      </c>
      <c r="D20" s="4" t="s">
        <v>22</v>
      </c>
      <c r="E20" s="4" t="s">
        <v>13</v>
      </c>
      <c r="F20" s="4" t="s">
        <v>34</v>
      </c>
      <c r="G20" s="4" t="s">
        <v>15</v>
      </c>
      <c r="H20" s="6">
        <v>14000.0</v>
      </c>
      <c r="I20" s="7">
        <v>1.0</v>
      </c>
      <c r="J20" s="8">
        <v>0.07</v>
      </c>
      <c r="K20" s="6">
        <v>2200.0</v>
      </c>
      <c r="L20" s="8">
        <f t="shared" si="1"/>
        <v>0.1571428571</v>
      </c>
      <c r="M20" s="4" t="str">
        <f t="shared" si="2"/>
        <v>VALID</v>
      </c>
      <c r="N20" s="8"/>
    </row>
    <row r="21">
      <c r="A21" s="4">
        <v>1020.0</v>
      </c>
      <c r="B21" s="5">
        <v>45009.0</v>
      </c>
      <c r="C21" s="4" t="s">
        <v>25</v>
      </c>
      <c r="D21" s="4" t="s">
        <v>26</v>
      </c>
      <c r="E21" s="4" t="s">
        <v>18</v>
      </c>
      <c r="F21" s="4" t="s">
        <v>19</v>
      </c>
      <c r="G21" s="4" t="s">
        <v>28</v>
      </c>
      <c r="H21" s="6">
        <v>6500.0</v>
      </c>
      <c r="I21" s="7">
        <v>1.0</v>
      </c>
      <c r="J21" s="8">
        <v>0.12</v>
      </c>
      <c r="K21" s="6">
        <v>1100.0</v>
      </c>
      <c r="L21" s="8">
        <f t="shared" si="1"/>
        <v>0.1692307692</v>
      </c>
      <c r="M21" s="4" t="str">
        <f t="shared" si="2"/>
        <v>VALID</v>
      </c>
      <c r="N21" s="8"/>
    </row>
    <row r="22">
      <c r="A22" s="4">
        <v>1021.0</v>
      </c>
      <c r="B22" s="5">
        <v>44980.0</v>
      </c>
      <c r="C22" s="4" t="s">
        <v>11</v>
      </c>
      <c r="D22" s="4" t="s">
        <v>29</v>
      </c>
      <c r="E22" s="4" t="s">
        <v>23</v>
      </c>
      <c r="F22" s="4" t="s">
        <v>37</v>
      </c>
      <c r="G22" s="4" t="s">
        <v>15</v>
      </c>
      <c r="H22" s="6">
        <v>3800.0</v>
      </c>
      <c r="I22" s="7">
        <v>1.0</v>
      </c>
      <c r="J22" s="8">
        <v>0.09</v>
      </c>
      <c r="K22" s="6">
        <v>850.0</v>
      </c>
      <c r="L22" s="8">
        <f t="shared" si="1"/>
        <v>0.2236842105</v>
      </c>
      <c r="M22" s="4" t="str">
        <f t="shared" si="2"/>
        <v>VALID</v>
      </c>
      <c r="N22" s="8"/>
    </row>
    <row r="23">
      <c r="A23" s="4">
        <v>1022.0</v>
      </c>
      <c r="B23" s="5">
        <v>44951.0</v>
      </c>
      <c r="C23" s="4" t="s">
        <v>16</v>
      </c>
      <c r="D23" s="4" t="s">
        <v>31</v>
      </c>
      <c r="E23" s="4" t="s">
        <v>13</v>
      </c>
      <c r="F23" s="4" t="s">
        <v>14</v>
      </c>
      <c r="G23" s="4" t="s">
        <v>20</v>
      </c>
      <c r="H23" s="6">
        <v>23000.0</v>
      </c>
      <c r="I23" s="7">
        <v>1.0</v>
      </c>
      <c r="J23" s="8">
        <v>0.08</v>
      </c>
      <c r="K23" s="6">
        <v>3300.0</v>
      </c>
      <c r="L23" s="8">
        <f t="shared" si="1"/>
        <v>0.1434782609</v>
      </c>
      <c r="M23" s="4" t="str">
        <f t="shared" si="2"/>
        <v>VALID</v>
      </c>
      <c r="N23" s="8"/>
    </row>
    <row r="24">
      <c r="A24" s="4">
        <v>1023.0</v>
      </c>
      <c r="B24" s="5">
        <v>44983.0</v>
      </c>
      <c r="C24" s="4" t="s">
        <v>21</v>
      </c>
      <c r="D24" s="4" t="s">
        <v>40</v>
      </c>
      <c r="E24" s="4" t="s">
        <v>18</v>
      </c>
      <c r="F24" s="4" t="s">
        <v>30</v>
      </c>
      <c r="G24" s="4" t="s">
        <v>15</v>
      </c>
      <c r="H24" s="6">
        <v>10000.0</v>
      </c>
      <c r="I24" s="7">
        <v>1.0</v>
      </c>
      <c r="J24" s="8">
        <v>0.13</v>
      </c>
      <c r="K24" s="6">
        <v>1600.0</v>
      </c>
      <c r="L24" s="8">
        <f t="shared" si="1"/>
        <v>0.16</v>
      </c>
      <c r="M24" s="4" t="str">
        <f t="shared" si="2"/>
        <v>VALID</v>
      </c>
      <c r="N24" s="8"/>
    </row>
    <row r="25">
      <c r="A25" s="4">
        <v>1024.0</v>
      </c>
      <c r="B25" s="5">
        <v>44998.0</v>
      </c>
      <c r="C25" s="4" t="s">
        <v>25</v>
      </c>
      <c r="D25" s="4" t="s">
        <v>35</v>
      </c>
      <c r="E25" s="4" t="s">
        <v>23</v>
      </c>
      <c r="F25" s="4" t="s">
        <v>39</v>
      </c>
      <c r="G25" s="4" t="s">
        <v>28</v>
      </c>
      <c r="H25" s="6">
        <v>1800.0</v>
      </c>
      <c r="I25" s="7">
        <v>2.0</v>
      </c>
      <c r="J25" s="8">
        <v>0.05</v>
      </c>
      <c r="K25" s="6">
        <v>400.0</v>
      </c>
      <c r="L25" s="8">
        <f t="shared" si="1"/>
        <v>0.2222222222</v>
      </c>
      <c r="M25" s="4" t="str">
        <f t="shared" si="2"/>
        <v>VALID</v>
      </c>
      <c r="N25" s="8"/>
    </row>
    <row r="26">
      <c r="A26" s="4">
        <v>1025.0</v>
      </c>
      <c r="B26" s="5">
        <v>44985.0</v>
      </c>
      <c r="C26" s="4" t="s">
        <v>11</v>
      </c>
      <c r="D26" s="4" t="s">
        <v>41</v>
      </c>
      <c r="E26" s="4" t="s">
        <v>13</v>
      </c>
      <c r="F26" s="4" t="s">
        <v>38</v>
      </c>
      <c r="G26" s="4" t="s">
        <v>15</v>
      </c>
      <c r="H26" s="6">
        <v>2800.0</v>
      </c>
      <c r="I26" s="7">
        <v>2.0</v>
      </c>
      <c r="J26" s="8">
        <v>0.07</v>
      </c>
      <c r="K26" s="6">
        <v>550.0</v>
      </c>
      <c r="L26" s="8">
        <f t="shared" si="1"/>
        <v>0.1964285714</v>
      </c>
      <c r="M26" s="4" t="str">
        <f t="shared" si="2"/>
        <v>VALID</v>
      </c>
      <c r="N26" s="8"/>
    </row>
    <row r="27">
      <c r="A27" s="4">
        <v>1026.0</v>
      </c>
      <c r="B27" s="5">
        <v>44946.0</v>
      </c>
      <c r="C27" s="4" t="s">
        <v>16</v>
      </c>
      <c r="D27" s="4" t="s">
        <v>17</v>
      </c>
      <c r="E27" s="4" t="s">
        <v>18</v>
      </c>
      <c r="F27" s="4" t="s">
        <v>36</v>
      </c>
      <c r="G27" s="4" t="s">
        <v>20</v>
      </c>
      <c r="H27" s="6">
        <v>32000.0</v>
      </c>
      <c r="I27" s="7">
        <v>1.0</v>
      </c>
      <c r="J27" s="8">
        <v>0.18</v>
      </c>
      <c r="K27" s="6">
        <v>4200.0</v>
      </c>
      <c r="L27" s="8">
        <f t="shared" si="1"/>
        <v>0.13125</v>
      </c>
      <c r="M27" s="4" t="str">
        <f t="shared" si="2"/>
        <v>VALID</v>
      </c>
      <c r="N27" s="8"/>
    </row>
    <row r="28">
      <c r="A28" s="4">
        <v>1027.0</v>
      </c>
      <c r="B28" s="5">
        <v>44929.0</v>
      </c>
      <c r="C28" s="4" t="s">
        <v>21</v>
      </c>
      <c r="D28" s="4" t="s">
        <v>33</v>
      </c>
      <c r="E28" s="4" t="s">
        <v>23</v>
      </c>
      <c r="F28" s="4" t="s">
        <v>24</v>
      </c>
      <c r="G28" s="4" t="s">
        <v>15</v>
      </c>
      <c r="H28" s="6">
        <v>1700.0</v>
      </c>
      <c r="I28" s="7">
        <v>3.0</v>
      </c>
      <c r="J28" s="8">
        <v>0.05</v>
      </c>
      <c r="K28" s="6">
        <v>450.0</v>
      </c>
      <c r="L28" s="8">
        <f t="shared" si="1"/>
        <v>0.2647058824</v>
      </c>
      <c r="M28" s="4" t="str">
        <f t="shared" si="2"/>
        <v>VALID</v>
      </c>
      <c r="N28" s="8"/>
    </row>
    <row r="29">
      <c r="A29" s="4">
        <v>1028.0</v>
      </c>
      <c r="B29" s="5">
        <v>44957.0</v>
      </c>
      <c r="C29" s="4" t="s">
        <v>25</v>
      </c>
      <c r="D29" s="4" t="s">
        <v>26</v>
      </c>
      <c r="E29" s="4" t="s">
        <v>13</v>
      </c>
      <c r="F29" s="4" t="s">
        <v>27</v>
      </c>
      <c r="G29" s="4" t="s">
        <v>28</v>
      </c>
      <c r="H29" s="6">
        <v>54000.0</v>
      </c>
      <c r="I29" s="7">
        <v>1.0</v>
      </c>
      <c r="J29" s="8">
        <v>0.06</v>
      </c>
      <c r="K29" s="6">
        <v>7000.0</v>
      </c>
      <c r="L29" s="8">
        <f t="shared" si="1"/>
        <v>0.1296296296</v>
      </c>
      <c r="M29" s="4" t="str">
        <f t="shared" si="2"/>
        <v>VALID</v>
      </c>
      <c r="N29" s="8"/>
    </row>
    <row r="30">
      <c r="A30" s="4">
        <v>1029.0</v>
      </c>
      <c r="B30" s="5">
        <v>44951.0</v>
      </c>
      <c r="C30" s="4" t="s">
        <v>11</v>
      </c>
      <c r="D30" s="4" t="s">
        <v>12</v>
      </c>
      <c r="E30" s="4" t="s">
        <v>18</v>
      </c>
      <c r="F30" s="4" t="s">
        <v>19</v>
      </c>
      <c r="G30" s="4" t="s">
        <v>15</v>
      </c>
      <c r="H30" s="6">
        <v>6800.0</v>
      </c>
      <c r="I30" s="7">
        <v>1.0</v>
      </c>
      <c r="J30" s="8">
        <v>0.1</v>
      </c>
      <c r="K30" s="6">
        <v>1200.0</v>
      </c>
      <c r="L30" s="8">
        <f t="shared" si="1"/>
        <v>0.1764705882</v>
      </c>
      <c r="M30" s="4" t="str">
        <f t="shared" si="2"/>
        <v>VALID</v>
      </c>
      <c r="N30" s="8"/>
    </row>
    <row r="31">
      <c r="A31" s="4">
        <v>1030.0</v>
      </c>
      <c r="B31" s="5">
        <v>45004.0</v>
      </c>
      <c r="C31" s="4" t="s">
        <v>16</v>
      </c>
      <c r="D31" s="4" t="s">
        <v>17</v>
      </c>
      <c r="E31" s="4" t="s">
        <v>23</v>
      </c>
      <c r="F31" s="4" t="s">
        <v>32</v>
      </c>
      <c r="G31" s="4" t="s">
        <v>20</v>
      </c>
      <c r="H31" s="6">
        <v>2700.0</v>
      </c>
      <c r="I31" s="7">
        <v>2.0</v>
      </c>
      <c r="J31" s="8">
        <v>0.1</v>
      </c>
      <c r="K31" s="6">
        <v>650.0</v>
      </c>
      <c r="L31" s="8">
        <f t="shared" si="1"/>
        <v>0.2407407407</v>
      </c>
      <c r="M31" s="4" t="str">
        <f t="shared" si="2"/>
        <v>VALID</v>
      </c>
      <c r="N31" s="8"/>
    </row>
    <row r="32">
      <c r="A32" s="4">
        <v>1031.0</v>
      </c>
      <c r="B32" s="5">
        <v>44929.0</v>
      </c>
      <c r="C32" s="4" t="s">
        <v>21</v>
      </c>
      <c r="D32" s="4" t="s">
        <v>22</v>
      </c>
      <c r="E32" s="4" t="s">
        <v>13</v>
      </c>
      <c r="F32" s="4" t="s">
        <v>14</v>
      </c>
      <c r="G32" s="4" t="s">
        <v>15</v>
      </c>
      <c r="H32" s="6">
        <v>22000.0</v>
      </c>
      <c r="I32" s="7">
        <v>1.0</v>
      </c>
      <c r="J32" s="8">
        <v>0.08</v>
      </c>
      <c r="K32" s="6">
        <v>3200.0</v>
      </c>
      <c r="L32" s="8">
        <f t="shared" si="1"/>
        <v>0.1454545455</v>
      </c>
      <c r="M32" s="4" t="str">
        <f t="shared" si="2"/>
        <v>VALID</v>
      </c>
      <c r="N32" s="8"/>
    </row>
    <row r="33">
      <c r="A33" s="4">
        <v>1032.0</v>
      </c>
      <c r="B33" s="5">
        <v>44998.0</v>
      </c>
      <c r="C33" s="4" t="s">
        <v>25</v>
      </c>
      <c r="D33" s="4" t="s">
        <v>35</v>
      </c>
      <c r="E33" s="4" t="s">
        <v>18</v>
      </c>
      <c r="F33" s="4" t="s">
        <v>30</v>
      </c>
      <c r="G33" s="4" t="s">
        <v>28</v>
      </c>
      <c r="H33" s="6">
        <v>11000.0</v>
      </c>
      <c r="I33" s="7">
        <v>1.0</v>
      </c>
      <c r="J33" s="8">
        <v>0.14</v>
      </c>
      <c r="K33" s="6">
        <v>1700.0</v>
      </c>
      <c r="L33" s="8">
        <f t="shared" si="1"/>
        <v>0.1545454545</v>
      </c>
      <c r="M33" s="4" t="str">
        <f t="shared" si="2"/>
        <v>VALID</v>
      </c>
      <c r="N33" s="8"/>
    </row>
    <row r="34">
      <c r="A34" s="4">
        <v>1033.0</v>
      </c>
      <c r="B34" s="5">
        <v>44962.0</v>
      </c>
      <c r="C34" s="4" t="s">
        <v>11</v>
      </c>
      <c r="D34" s="4" t="s">
        <v>29</v>
      </c>
      <c r="E34" s="4" t="s">
        <v>23</v>
      </c>
      <c r="F34" s="4" t="s">
        <v>39</v>
      </c>
      <c r="G34" s="4" t="s">
        <v>15</v>
      </c>
      <c r="H34" s="6">
        <v>2000.0</v>
      </c>
      <c r="I34" s="7">
        <v>2.0</v>
      </c>
      <c r="J34" s="8">
        <v>0.05</v>
      </c>
      <c r="K34" s="6">
        <v>400.0</v>
      </c>
      <c r="L34" s="8">
        <f t="shared" si="1"/>
        <v>0.2</v>
      </c>
      <c r="M34" s="4" t="str">
        <f t="shared" si="2"/>
        <v>VALID</v>
      </c>
      <c r="N34" s="8"/>
    </row>
    <row r="35">
      <c r="A35" s="4">
        <v>1034.0</v>
      </c>
      <c r="B35" s="5">
        <v>45014.0</v>
      </c>
      <c r="C35" s="4" t="s">
        <v>16</v>
      </c>
      <c r="D35" s="4" t="s">
        <v>31</v>
      </c>
      <c r="E35" s="4" t="s">
        <v>13</v>
      </c>
      <c r="F35" s="4" t="s">
        <v>34</v>
      </c>
      <c r="G35" s="4" t="s">
        <v>20</v>
      </c>
      <c r="H35" s="6">
        <v>16000.0</v>
      </c>
      <c r="I35" s="7">
        <v>1.0</v>
      </c>
      <c r="J35" s="8">
        <v>0.07</v>
      </c>
      <c r="K35" s="6">
        <v>2500.0</v>
      </c>
      <c r="L35" s="8">
        <f t="shared" si="1"/>
        <v>0.15625</v>
      </c>
      <c r="M35" s="4" t="str">
        <f t="shared" si="2"/>
        <v>VALID</v>
      </c>
      <c r="N35" s="8"/>
    </row>
    <row r="36">
      <c r="A36" s="4">
        <v>1035.0</v>
      </c>
      <c r="B36" s="5">
        <v>44999.0</v>
      </c>
      <c r="C36" s="4" t="s">
        <v>21</v>
      </c>
      <c r="D36" s="4" t="s">
        <v>40</v>
      </c>
      <c r="E36" s="4" t="s">
        <v>18</v>
      </c>
      <c r="F36" s="4" t="s">
        <v>36</v>
      </c>
      <c r="G36" s="4" t="s">
        <v>15</v>
      </c>
      <c r="H36" s="6">
        <v>30000.0</v>
      </c>
      <c r="I36" s="7">
        <v>1.0</v>
      </c>
      <c r="J36" s="8">
        <v>0.17</v>
      </c>
      <c r="K36" s="6">
        <v>3900.0</v>
      </c>
      <c r="L36" s="8">
        <f t="shared" si="1"/>
        <v>0.13</v>
      </c>
      <c r="M36" s="4" t="str">
        <f t="shared" si="2"/>
        <v>VALID</v>
      </c>
      <c r="N36" s="8"/>
    </row>
    <row r="37">
      <c r="A37" s="4">
        <v>1036.0</v>
      </c>
      <c r="B37" s="5">
        <v>44977.0</v>
      </c>
      <c r="C37" s="4" t="s">
        <v>25</v>
      </c>
      <c r="D37" s="4" t="s">
        <v>26</v>
      </c>
      <c r="E37" s="4" t="s">
        <v>23</v>
      </c>
      <c r="F37" s="4" t="s">
        <v>37</v>
      </c>
      <c r="G37" s="4" t="s">
        <v>28</v>
      </c>
      <c r="H37" s="6">
        <v>4000.0</v>
      </c>
      <c r="I37" s="7">
        <v>1.0</v>
      </c>
      <c r="J37" s="8">
        <v>0.09</v>
      </c>
      <c r="K37" s="6">
        <v>900.0</v>
      </c>
      <c r="L37" s="8">
        <f t="shared" si="1"/>
        <v>0.225</v>
      </c>
      <c r="M37" s="4" t="str">
        <f t="shared" si="2"/>
        <v>VALID</v>
      </c>
      <c r="N37" s="8"/>
    </row>
    <row r="38">
      <c r="A38" s="4">
        <v>1037.0</v>
      </c>
      <c r="B38" s="5">
        <v>45003.0</v>
      </c>
      <c r="C38" s="4" t="s">
        <v>11</v>
      </c>
      <c r="D38" s="4" t="s">
        <v>12</v>
      </c>
      <c r="E38" s="4" t="s">
        <v>13</v>
      </c>
      <c r="F38" s="4" t="s">
        <v>27</v>
      </c>
      <c r="G38" s="4" t="s">
        <v>15</v>
      </c>
      <c r="H38" s="6">
        <v>58000.0</v>
      </c>
      <c r="I38" s="7">
        <v>1.0</v>
      </c>
      <c r="J38" s="8">
        <v>0.05</v>
      </c>
      <c r="K38" s="6">
        <v>7800.0</v>
      </c>
      <c r="L38" s="8">
        <f t="shared" si="1"/>
        <v>0.1344827586</v>
      </c>
      <c r="M38" s="4" t="str">
        <f t="shared" si="2"/>
        <v>VALID</v>
      </c>
      <c r="N38" s="8"/>
    </row>
    <row r="39">
      <c r="A39" s="4">
        <v>1038.0</v>
      </c>
      <c r="B39" s="5">
        <v>45012.0</v>
      </c>
      <c r="C39" s="4" t="s">
        <v>16</v>
      </c>
      <c r="D39" s="4" t="s">
        <v>17</v>
      </c>
      <c r="E39" s="4" t="s">
        <v>18</v>
      </c>
      <c r="F39" s="4" t="s">
        <v>19</v>
      </c>
      <c r="G39" s="4" t="s">
        <v>20</v>
      </c>
      <c r="H39" s="6">
        <v>7500.0</v>
      </c>
      <c r="I39" s="7">
        <v>1.0</v>
      </c>
      <c r="J39" s="8">
        <v>0.11</v>
      </c>
      <c r="K39" s="6">
        <v>1300.0</v>
      </c>
      <c r="L39" s="8">
        <f t="shared" si="1"/>
        <v>0.1733333333</v>
      </c>
      <c r="M39" s="4" t="str">
        <f t="shared" si="2"/>
        <v>VALID</v>
      </c>
      <c r="N39" s="8"/>
    </row>
    <row r="40">
      <c r="A40" s="4">
        <v>1039.0</v>
      </c>
      <c r="B40" s="5">
        <v>45004.0</v>
      </c>
      <c r="C40" s="4" t="s">
        <v>21</v>
      </c>
      <c r="D40" s="4" t="s">
        <v>33</v>
      </c>
      <c r="E40" s="4" t="s">
        <v>23</v>
      </c>
      <c r="F40" s="4" t="s">
        <v>24</v>
      </c>
      <c r="G40" s="4" t="s">
        <v>15</v>
      </c>
      <c r="H40" s="6">
        <v>1500.0</v>
      </c>
      <c r="I40" s="7">
        <v>3.0</v>
      </c>
      <c r="J40" s="8">
        <v>0.05</v>
      </c>
      <c r="K40" s="6">
        <v>300.0</v>
      </c>
      <c r="L40" s="8">
        <f t="shared" si="1"/>
        <v>0.2</v>
      </c>
      <c r="M40" s="4" t="str">
        <f t="shared" si="2"/>
        <v>VALID</v>
      </c>
      <c r="N40" s="8"/>
    </row>
    <row r="41">
      <c r="A41" s="4">
        <v>1040.0</v>
      </c>
      <c r="B41" s="5">
        <v>44973.0</v>
      </c>
      <c r="C41" s="4" t="s">
        <v>25</v>
      </c>
      <c r="D41" s="4" t="s">
        <v>26</v>
      </c>
      <c r="E41" s="4" t="s">
        <v>13</v>
      </c>
      <c r="F41" s="4" t="s">
        <v>14</v>
      </c>
      <c r="G41" s="4" t="s">
        <v>28</v>
      </c>
      <c r="H41" s="6">
        <v>21000.0</v>
      </c>
      <c r="I41" s="7">
        <v>1.0</v>
      </c>
      <c r="J41" s="8">
        <v>0.09</v>
      </c>
      <c r="K41" s="6">
        <v>3100.0</v>
      </c>
      <c r="L41" s="8">
        <f t="shared" si="1"/>
        <v>0.1476190476</v>
      </c>
      <c r="M41" s="4" t="str">
        <f t="shared" si="2"/>
        <v>VALID</v>
      </c>
      <c r="N41" s="8"/>
    </row>
    <row r="42">
      <c r="A42" s="4">
        <v>1041.0</v>
      </c>
      <c r="B42" s="5">
        <v>45000.0</v>
      </c>
      <c r="C42" s="4" t="s">
        <v>11</v>
      </c>
      <c r="D42" s="4" t="s">
        <v>29</v>
      </c>
      <c r="E42" s="4" t="s">
        <v>18</v>
      </c>
      <c r="F42" s="4" t="s">
        <v>30</v>
      </c>
      <c r="G42" s="4" t="s">
        <v>15</v>
      </c>
      <c r="H42" s="6">
        <v>9500.0</v>
      </c>
      <c r="I42" s="7">
        <v>1.0</v>
      </c>
      <c r="J42" s="8">
        <v>0.13</v>
      </c>
      <c r="K42" s="6">
        <v>1500.0</v>
      </c>
      <c r="L42" s="8">
        <f t="shared" si="1"/>
        <v>0.1578947368</v>
      </c>
      <c r="M42" s="4" t="str">
        <f t="shared" si="2"/>
        <v>VALID</v>
      </c>
      <c r="N42" s="8"/>
    </row>
    <row r="43">
      <c r="A43" s="4">
        <v>1042.0</v>
      </c>
      <c r="B43" s="5">
        <v>44989.0</v>
      </c>
      <c r="C43" s="4" t="s">
        <v>16</v>
      </c>
      <c r="D43" s="4" t="s">
        <v>17</v>
      </c>
      <c r="E43" s="4" t="s">
        <v>23</v>
      </c>
      <c r="F43" s="4" t="s">
        <v>32</v>
      </c>
      <c r="G43" s="4" t="s">
        <v>20</v>
      </c>
      <c r="H43" s="6">
        <v>2600.0</v>
      </c>
      <c r="I43" s="7">
        <v>2.0</v>
      </c>
      <c r="J43" s="8">
        <v>0.1</v>
      </c>
      <c r="K43" s="6">
        <v>650.0</v>
      </c>
      <c r="L43" s="8">
        <f t="shared" si="1"/>
        <v>0.25</v>
      </c>
      <c r="M43" s="4" t="str">
        <f t="shared" si="2"/>
        <v>VALID</v>
      </c>
      <c r="N43" s="8"/>
    </row>
    <row r="44">
      <c r="A44" s="4">
        <v>1043.0</v>
      </c>
      <c r="B44" s="5">
        <v>44946.0</v>
      </c>
      <c r="C44" s="4" t="s">
        <v>21</v>
      </c>
      <c r="D44" s="4" t="s">
        <v>22</v>
      </c>
      <c r="E44" s="4" t="s">
        <v>13</v>
      </c>
      <c r="F44" s="4" t="s">
        <v>38</v>
      </c>
      <c r="G44" s="4" t="s">
        <v>15</v>
      </c>
      <c r="H44" s="6">
        <v>2900.0</v>
      </c>
      <c r="I44" s="7">
        <v>2.0</v>
      </c>
      <c r="J44" s="8">
        <v>0.07</v>
      </c>
      <c r="K44" s="6">
        <v>550.0</v>
      </c>
      <c r="L44" s="8">
        <f t="shared" si="1"/>
        <v>0.1896551724</v>
      </c>
      <c r="M44" s="4" t="str">
        <f t="shared" si="2"/>
        <v>VALID</v>
      </c>
      <c r="N44" s="8"/>
    </row>
    <row r="45">
      <c r="A45" s="4">
        <v>1044.0</v>
      </c>
      <c r="B45" s="5">
        <v>44942.0</v>
      </c>
      <c r="C45" s="4" t="s">
        <v>25</v>
      </c>
      <c r="D45" s="4" t="s">
        <v>35</v>
      </c>
      <c r="E45" s="4" t="s">
        <v>18</v>
      </c>
      <c r="F45" s="4" t="s">
        <v>36</v>
      </c>
      <c r="G45" s="4" t="s">
        <v>28</v>
      </c>
      <c r="H45" s="6">
        <v>31000.0</v>
      </c>
      <c r="I45" s="7">
        <v>1.0</v>
      </c>
      <c r="J45" s="8">
        <v>0.18</v>
      </c>
      <c r="K45" s="6">
        <v>4000.0</v>
      </c>
      <c r="L45" s="8">
        <f t="shared" si="1"/>
        <v>0.1290322581</v>
      </c>
      <c r="M45" s="4" t="str">
        <f t="shared" si="2"/>
        <v>VALID</v>
      </c>
      <c r="N45" s="8"/>
    </row>
    <row r="46">
      <c r="A46" s="4">
        <v>1045.0</v>
      </c>
      <c r="B46" s="5">
        <v>44958.0</v>
      </c>
      <c r="C46" s="4" t="s">
        <v>11</v>
      </c>
      <c r="D46" s="4" t="s">
        <v>41</v>
      </c>
      <c r="E46" s="4" t="s">
        <v>23</v>
      </c>
      <c r="F46" s="4" t="s">
        <v>39</v>
      </c>
      <c r="G46" s="4" t="s">
        <v>15</v>
      </c>
      <c r="H46" s="6">
        <v>2200.0</v>
      </c>
      <c r="I46" s="7">
        <v>2.0</v>
      </c>
      <c r="J46" s="8">
        <v>0.05</v>
      </c>
      <c r="K46" s="6">
        <v>450.0</v>
      </c>
      <c r="L46" s="8">
        <f t="shared" si="1"/>
        <v>0.2045454545</v>
      </c>
      <c r="M46" s="4" t="str">
        <f t="shared" si="2"/>
        <v>VALID</v>
      </c>
      <c r="N46" s="8"/>
    </row>
    <row r="47">
      <c r="A47" s="4">
        <v>1046.0</v>
      </c>
      <c r="B47" s="5">
        <v>44983.0</v>
      </c>
      <c r="C47" s="4" t="s">
        <v>16</v>
      </c>
      <c r="D47" s="4" t="s">
        <v>31</v>
      </c>
      <c r="E47" s="4" t="s">
        <v>13</v>
      </c>
      <c r="F47" s="4" t="s">
        <v>34</v>
      </c>
      <c r="G47" s="4" t="s">
        <v>20</v>
      </c>
      <c r="H47" s="6">
        <v>15500.0</v>
      </c>
      <c r="I47" s="7">
        <v>1.0</v>
      </c>
      <c r="J47" s="8">
        <v>0.07</v>
      </c>
      <c r="K47" s="6">
        <v>2400.0</v>
      </c>
      <c r="L47" s="8">
        <f t="shared" si="1"/>
        <v>0.1548387097</v>
      </c>
      <c r="M47" s="4" t="str">
        <f t="shared" si="2"/>
        <v>VALID</v>
      </c>
      <c r="N47" s="8"/>
    </row>
    <row r="48">
      <c r="A48" s="4">
        <v>1047.0</v>
      </c>
      <c r="B48" s="5">
        <v>44937.0</v>
      </c>
      <c r="C48" s="4" t="s">
        <v>21</v>
      </c>
      <c r="D48" s="4" t="s">
        <v>40</v>
      </c>
      <c r="E48" s="4" t="s">
        <v>18</v>
      </c>
      <c r="F48" s="4" t="s">
        <v>19</v>
      </c>
      <c r="G48" s="4" t="s">
        <v>15</v>
      </c>
      <c r="H48" s="6">
        <v>7000.0</v>
      </c>
      <c r="I48" s="7">
        <v>1.0</v>
      </c>
      <c r="J48" s="8">
        <v>0.1</v>
      </c>
      <c r="K48" s="6">
        <v>1100.0</v>
      </c>
      <c r="L48" s="8">
        <f t="shared" si="1"/>
        <v>0.1571428571</v>
      </c>
      <c r="M48" s="4" t="str">
        <f t="shared" si="2"/>
        <v>VALID</v>
      </c>
      <c r="N48" s="8"/>
    </row>
    <row r="49">
      <c r="A49" s="4">
        <v>1048.0</v>
      </c>
      <c r="B49" s="5">
        <v>44979.0</v>
      </c>
      <c r="C49" s="4" t="s">
        <v>25</v>
      </c>
      <c r="D49" s="4" t="s">
        <v>26</v>
      </c>
      <c r="E49" s="4" t="s">
        <v>23</v>
      </c>
      <c r="F49" s="4" t="s">
        <v>24</v>
      </c>
      <c r="G49" s="4" t="s">
        <v>28</v>
      </c>
      <c r="H49" s="6">
        <v>1400.0</v>
      </c>
      <c r="I49" s="7">
        <v>3.0</v>
      </c>
      <c r="J49" s="8">
        <v>0.05</v>
      </c>
      <c r="K49" s="6">
        <v>300.0</v>
      </c>
      <c r="L49" s="8">
        <f t="shared" si="1"/>
        <v>0.2142857143</v>
      </c>
      <c r="M49" s="4" t="str">
        <f t="shared" si="2"/>
        <v>VALID</v>
      </c>
      <c r="N49" s="8"/>
    </row>
    <row r="50">
      <c r="A50" s="4">
        <v>1049.0</v>
      </c>
      <c r="B50" s="5">
        <v>44934.0</v>
      </c>
      <c r="C50" s="4" t="s">
        <v>11</v>
      </c>
      <c r="D50" s="4" t="s">
        <v>12</v>
      </c>
      <c r="E50" s="4" t="s">
        <v>13</v>
      </c>
      <c r="F50" s="4" t="s">
        <v>14</v>
      </c>
      <c r="G50" s="4" t="s">
        <v>15</v>
      </c>
      <c r="H50" s="6">
        <v>23000.0</v>
      </c>
      <c r="I50" s="7">
        <v>1.0</v>
      </c>
      <c r="J50" s="8">
        <v>0.08</v>
      </c>
      <c r="K50" s="6">
        <v>3300.0</v>
      </c>
      <c r="L50" s="8">
        <f t="shared" si="1"/>
        <v>0.1434782609</v>
      </c>
      <c r="M50" s="4" t="str">
        <f t="shared" si="2"/>
        <v>VALID</v>
      </c>
      <c r="N50" s="8"/>
    </row>
    <row r="51">
      <c r="A51" s="4">
        <v>1050.0</v>
      </c>
      <c r="B51" s="5">
        <v>44942.0</v>
      </c>
      <c r="C51" s="4" t="s">
        <v>16</v>
      </c>
      <c r="D51" s="4" t="s">
        <v>17</v>
      </c>
      <c r="E51" s="4" t="s">
        <v>18</v>
      </c>
      <c r="F51" s="4" t="s">
        <v>30</v>
      </c>
      <c r="G51" s="4" t="s">
        <v>20</v>
      </c>
      <c r="H51" s="6">
        <v>10000.0</v>
      </c>
      <c r="I51" s="7">
        <v>1.0</v>
      </c>
      <c r="J51" s="8">
        <v>0.14</v>
      </c>
      <c r="K51" s="6">
        <v>1600.0</v>
      </c>
      <c r="L51" s="8">
        <f t="shared" si="1"/>
        <v>0.16</v>
      </c>
      <c r="M51" s="4" t="str">
        <f t="shared" si="2"/>
        <v>VALID</v>
      </c>
      <c r="N51" s="8"/>
    </row>
    <row r="52">
      <c r="A52" s="4">
        <v>1051.0</v>
      </c>
      <c r="B52" s="5">
        <v>44998.0</v>
      </c>
      <c r="C52" s="4" t="s">
        <v>16</v>
      </c>
      <c r="D52" s="4" t="s">
        <v>17</v>
      </c>
      <c r="E52" s="4" t="s">
        <v>23</v>
      </c>
      <c r="F52" s="4" t="s">
        <v>32</v>
      </c>
      <c r="G52" s="4" t="s">
        <v>20</v>
      </c>
      <c r="H52" s="6">
        <v>2700.0</v>
      </c>
      <c r="I52" s="7">
        <v>2.0</v>
      </c>
      <c r="J52" s="8">
        <v>0.1</v>
      </c>
      <c r="K52" s="6">
        <v>650.0</v>
      </c>
      <c r="L52" s="8">
        <f t="shared" si="1"/>
        <v>0.2407407407</v>
      </c>
      <c r="M52" s="4" t="str">
        <f t="shared" si="2"/>
        <v>VALID</v>
      </c>
      <c r="N52" s="8"/>
    </row>
    <row r="53">
      <c r="A53" s="4">
        <v>1052.0</v>
      </c>
      <c r="B53" s="5">
        <v>44935.0</v>
      </c>
      <c r="C53" s="4" t="s">
        <v>21</v>
      </c>
      <c r="D53" s="4" t="s">
        <v>22</v>
      </c>
      <c r="E53" s="4" t="s">
        <v>13</v>
      </c>
      <c r="F53" s="4" t="s">
        <v>14</v>
      </c>
      <c r="G53" s="4" t="s">
        <v>15</v>
      </c>
      <c r="H53" s="6">
        <v>22000.0</v>
      </c>
      <c r="I53" s="7">
        <v>1.0</v>
      </c>
      <c r="J53" s="8">
        <v>0.08</v>
      </c>
      <c r="K53" s="6">
        <v>3200.0</v>
      </c>
      <c r="L53" s="8">
        <f t="shared" si="1"/>
        <v>0.1454545455</v>
      </c>
      <c r="M53" s="4" t="str">
        <f t="shared" si="2"/>
        <v>VALID</v>
      </c>
      <c r="N53" s="8"/>
    </row>
    <row r="54">
      <c r="A54" s="4">
        <v>1053.0</v>
      </c>
      <c r="B54" s="5">
        <v>44948.0</v>
      </c>
      <c r="C54" s="4" t="s">
        <v>25</v>
      </c>
      <c r="D54" s="4" t="s">
        <v>35</v>
      </c>
      <c r="E54" s="4" t="s">
        <v>18</v>
      </c>
      <c r="F54" s="4" t="s">
        <v>30</v>
      </c>
      <c r="G54" s="4" t="s">
        <v>28</v>
      </c>
      <c r="H54" s="6">
        <v>11000.0</v>
      </c>
      <c r="I54" s="7">
        <v>1.0</v>
      </c>
      <c r="J54" s="8">
        <v>0.14</v>
      </c>
      <c r="K54" s="6">
        <v>1700.0</v>
      </c>
      <c r="L54" s="8">
        <f t="shared" si="1"/>
        <v>0.1545454545</v>
      </c>
      <c r="M54" s="4" t="str">
        <f t="shared" si="2"/>
        <v>VALID</v>
      </c>
      <c r="N54" s="8"/>
    </row>
    <row r="55">
      <c r="A55" s="4">
        <v>1054.0</v>
      </c>
      <c r="B55" s="5">
        <v>44961.0</v>
      </c>
      <c r="C55" s="4" t="s">
        <v>11</v>
      </c>
      <c r="D55" s="4" t="s">
        <v>29</v>
      </c>
      <c r="E55" s="4" t="s">
        <v>23</v>
      </c>
      <c r="F55" s="4" t="s">
        <v>39</v>
      </c>
      <c r="G55" s="4" t="s">
        <v>15</v>
      </c>
      <c r="H55" s="6">
        <v>2000.0</v>
      </c>
      <c r="I55" s="7">
        <v>2.0</v>
      </c>
      <c r="J55" s="8">
        <v>0.05</v>
      </c>
      <c r="K55" s="6">
        <v>400.0</v>
      </c>
      <c r="L55" s="8">
        <f t="shared" si="1"/>
        <v>0.2</v>
      </c>
      <c r="M55" s="4" t="str">
        <f t="shared" si="2"/>
        <v>VALID</v>
      </c>
      <c r="N55" s="8"/>
    </row>
    <row r="56">
      <c r="A56" s="4">
        <v>1055.0</v>
      </c>
      <c r="B56" s="5">
        <v>44987.0</v>
      </c>
      <c r="C56" s="4" t="s">
        <v>16</v>
      </c>
      <c r="D56" s="4" t="s">
        <v>31</v>
      </c>
      <c r="E56" s="4" t="s">
        <v>13</v>
      </c>
      <c r="F56" s="4" t="s">
        <v>34</v>
      </c>
      <c r="G56" s="4" t="s">
        <v>20</v>
      </c>
      <c r="H56" s="6">
        <v>16000.0</v>
      </c>
      <c r="I56" s="7">
        <v>1.0</v>
      </c>
      <c r="J56" s="8">
        <v>0.07</v>
      </c>
      <c r="K56" s="6">
        <v>2500.0</v>
      </c>
      <c r="L56" s="8">
        <f t="shared" si="1"/>
        <v>0.15625</v>
      </c>
      <c r="M56" s="4" t="str">
        <f t="shared" si="2"/>
        <v>VALID</v>
      </c>
      <c r="N56" s="8"/>
    </row>
    <row r="57">
      <c r="A57" s="4">
        <v>1056.0</v>
      </c>
      <c r="B57" s="5">
        <v>44959.0</v>
      </c>
      <c r="C57" s="4" t="s">
        <v>21</v>
      </c>
      <c r="D57" s="4" t="s">
        <v>40</v>
      </c>
      <c r="E57" s="4" t="s">
        <v>18</v>
      </c>
      <c r="F57" s="4" t="s">
        <v>36</v>
      </c>
      <c r="G57" s="4" t="s">
        <v>15</v>
      </c>
      <c r="H57" s="6">
        <v>30000.0</v>
      </c>
      <c r="I57" s="7">
        <v>1.0</v>
      </c>
      <c r="J57" s="8">
        <v>0.17</v>
      </c>
      <c r="K57" s="6">
        <v>3900.0</v>
      </c>
      <c r="L57" s="8">
        <f t="shared" si="1"/>
        <v>0.13</v>
      </c>
      <c r="M57" s="4" t="str">
        <f t="shared" si="2"/>
        <v>VALID</v>
      </c>
      <c r="N57" s="8"/>
    </row>
    <row r="58">
      <c r="A58" s="4">
        <v>1057.0</v>
      </c>
      <c r="B58" s="5">
        <v>44937.0</v>
      </c>
      <c r="C58" s="4" t="s">
        <v>25</v>
      </c>
      <c r="D58" s="4" t="s">
        <v>26</v>
      </c>
      <c r="E58" s="4" t="s">
        <v>23</v>
      </c>
      <c r="F58" s="4" t="s">
        <v>37</v>
      </c>
      <c r="G58" s="4" t="s">
        <v>28</v>
      </c>
      <c r="H58" s="6">
        <v>4000.0</v>
      </c>
      <c r="I58" s="7">
        <v>1.0</v>
      </c>
      <c r="J58" s="8">
        <v>0.09</v>
      </c>
      <c r="K58" s="6">
        <v>900.0</v>
      </c>
      <c r="L58" s="8">
        <f t="shared" si="1"/>
        <v>0.225</v>
      </c>
      <c r="M58" s="4" t="str">
        <f t="shared" si="2"/>
        <v>VALID</v>
      </c>
      <c r="N58" s="8"/>
    </row>
    <row r="59">
      <c r="A59" s="4">
        <v>1058.0</v>
      </c>
      <c r="B59" s="5">
        <v>44927.0</v>
      </c>
      <c r="C59" s="4" t="s">
        <v>11</v>
      </c>
      <c r="D59" s="4" t="s">
        <v>12</v>
      </c>
      <c r="E59" s="4" t="s">
        <v>13</v>
      </c>
      <c r="F59" s="4" t="s">
        <v>27</v>
      </c>
      <c r="G59" s="4" t="s">
        <v>15</v>
      </c>
      <c r="H59" s="6">
        <v>58000.0</v>
      </c>
      <c r="I59" s="7">
        <v>1.0</v>
      </c>
      <c r="J59" s="8">
        <v>0.05</v>
      </c>
      <c r="K59" s="6">
        <v>7800.0</v>
      </c>
      <c r="L59" s="8">
        <f t="shared" si="1"/>
        <v>0.1344827586</v>
      </c>
      <c r="M59" s="4" t="str">
        <f t="shared" si="2"/>
        <v>VALID</v>
      </c>
      <c r="N59" s="8"/>
    </row>
    <row r="60">
      <c r="A60" s="4">
        <v>1059.0</v>
      </c>
      <c r="B60" s="5">
        <v>45013.0</v>
      </c>
      <c r="C60" s="4" t="s">
        <v>16</v>
      </c>
      <c r="D60" s="4" t="s">
        <v>17</v>
      </c>
      <c r="E60" s="4" t="s">
        <v>18</v>
      </c>
      <c r="F60" s="4" t="s">
        <v>19</v>
      </c>
      <c r="G60" s="4" t="s">
        <v>20</v>
      </c>
      <c r="H60" s="6">
        <v>7500.0</v>
      </c>
      <c r="I60" s="7">
        <v>1.0</v>
      </c>
      <c r="J60" s="8">
        <v>0.11</v>
      </c>
      <c r="K60" s="6">
        <v>1300.0</v>
      </c>
      <c r="L60" s="8">
        <f t="shared" si="1"/>
        <v>0.1733333333</v>
      </c>
      <c r="M60" s="4" t="str">
        <f t="shared" si="2"/>
        <v>VALID</v>
      </c>
      <c r="N60" s="8"/>
    </row>
    <row r="61">
      <c r="A61" s="4">
        <v>1060.0</v>
      </c>
      <c r="B61" s="5">
        <v>44989.0</v>
      </c>
      <c r="C61" s="4" t="s">
        <v>21</v>
      </c>
      <c r="D61" s="4" t="s">
        <v>33</v>
      </c>
      <c r="E61" s="4" t="s">
        <v>23</v>
      </c>
      <c r="F61" s="4" t="s">
        <v>24</v>
      </c>
      <c r="G61" s="4" t="s">
        <v>15</v>
      </c>
      <c r="H61" s="6">
        <v>1500.0</v>
      </c>
      <c r="I61" s="7">
        <v>3.0</v>
      </c>
      <c r="J61" s="8">
        <v>0.05</v>
      </c>
      <c r="K61" s="6">
        <v>300.0</v>
      </c>
      <c r="L61" s="8">
        <f t="shared" si="1"/>
        <v>0.2</v>
      </c>
      <c r="M61" s="4" t="str">
        <f t="shared" si="2"/>
        <v>VALID</v>
      </c>
      <c r="N61" s="8"/>
    </row>
    <row r="62">
      <c r="A62" s="4">
        <v>1061.0</v>
      </c>
      <c r="B62" s="5">
        <v>44954.0</v>
      </c>
      <c r="C62" s="4" t="s">
        <v>25</v>
      </c>
      <c r="D62" s="4" t="s">
        <v>26</v>
      </c>
      <c r="E62" s="4" t="s">
        <v>13</v>
      </c>
      <c r="F62" s="4" t="s">
        <v>14</v>
      </c>
      <c r="G62" s="4" t="s">
        <v>28</v>
      </c>
      <c r="H62" s="6">
        <v>21000.0</v>
      </c>
      <c r="I62" s="7">
        <v>1.0</v>
      </c>
      <c r="J62" s="8">
        <v>0.09</v>
      </c>
      <c r="K62" s="6">
        <v>3100.0</v>
      </c>
      <c r="L62" s="8">
        <f t="shared" si="1"/>
        <v>0.1476190476</v>
      </c>
      <c r="M62" s="4" t="str">
        <f t="shared" si="2"/>
        <v>VALID</v>
      </c>
      <c r="N62" s="8"/>
    </row>
    <row r="63">
      <c r="A63" s="4">
        <v>1062.0</v>
      </c>
      <c r="B63" s="5">
        <v>45011.0</v>
      </c>
      <c r="C63" s="4" t="s">
        <v>11</v>
      </c>
      <c r="D63" s="4" t="s">
        <v>29</v>
      </c>
      <c r="E63" s="4" t="s">
        <v>18</v>
      </c>
      <c r="F63" s="4" t="s">
        <v>30</v>
      </c>
      <c r="G63" s="4" t="s">
        <v>15</v>
      </c>
      <c r="H63" s="6">
        <v>9500.0</v>
      </c>
      <c r="I63" s="7">
        <v>1.0</v>
      </c>
      <c r="J63" s="8">
        <v>0.13</v>
      </c>
      <c r="K63" s="6">
        <v>1500.0</v>
      </c>
      <c r="L63" s="8">
        <f t="shared" si="1"/>
        <v>0.1578947368</v>
      </c>
      <c r="M63" s="4" t="str">
        <f t="shared" si="2"/>
        <v>VALID</v>
      </c>
      <c r="N63" s="8"/>
    </row>
    <row r="64">
      <c r="A64" s="4">
        <v>1063.0</v>
      </c>
      <c r="B64" s="5">
        <v>44938.0</v>
      </c>
      <c r="C64" s="4" t="s">
        <v>16</v>
      </c>
      <c r="D64" s="4" t="s">
        <v>17</v>
      </c>
      <c r="E64" s="4" t="s">
        <v>23</v>
      </c>
      <c r="F64" s="4" t="s">
        <v>32</v>
      </c>
      <c r="G64" s="4" t="s">
        <v>20</v>
      </c>
      <c r="H64" s="6">
        <v>2600.0</v>
      </c>
      <c r="I64" s="7">
        <v>2.0</v>
      </c>
      <c r="J64" s="8">
        <v>0.1</v>
      </c>
      <c r="K64" s="6">
        <v>650.0</v>
      </c>
      <c r="L64" s="8">
        <f t="shared" si="1"/>
        <v>0.25</v>
      </c>
      <c r="M64" s="4" t="str">
        <f t="shared" si="2"/>
        <v>VALID</v>
      </c>
      <c r="N64" s="8"/>
    </row>
    <row r="65">
      <c r="A65" s="4">
        <v>1064.0</v>
      </c>
      <c r="B65" s="5">
        <v>44928.0</v>
      </c>
      <c r="C65" s="4" t="s">
        <v>21</v>
      </c>
      <c r="D65" s="4" t="s">
        <v>22</v>
      </c>
      <c r="E65" s="4" t="s">
        <v>13</v>
      </c>
      <c r="F65" s="4" t="s">
        <v>38</v>
      </c>
      <c r="G65" s="4" t="s">
        <v>15</v>
      </c>
      <c r="H65" s="6">
        <v>2900.0</v>
      </c>
      <c r="I65" s="7">
        <v>2.0</v>
      </c>
      <c r="J65" s="8">
        <v>0.07</v>
      </c>
      <c r="K65" s="6">
        <v>550.0</v>
      </c>
      <c r="L65" s="8">
        <f t="shared" si="1"/>
        <v>0.1896551724</v>
      </c>
      <c r="M65" s="4" t="str">
        <f t="shared" si="2"/>
        <v>VALID</v>
      </c>
      <c r="N65" s="8"/>
    </row>
    <row r="66">
      <c r="A66" s="4">
        <v>1065.0</v>
      </c>
      <c r="B66" s="5">
        <v>44944.0</v>
      </c>
      <c r="C66" s="4" t="s">
        <v>25</v>
      </c>
      <c r="D66" s="4" t="s">
        <v>35</v>
      </c>
      <c r="E66" s="4" t="s">
        <v>18</v>
      </c>
      <c r="F66" s="4" t="s">
        <v>36</v>
      </c>
      <c r="G66" s="4" t="s">
        <v>28</v>
      </c>
      <c r="H66" s="6">
        <v>31000.0</v>
      </c>
      <c r="I66" s="7">
        <v>1.0</v>
      </c>
      <c r="J66" s="8">
        <v>0.18</v>
      </c>
      <c r="K66" s="6">
        <v>4000.0</v>
      </c>
      <c r="L66" s="8">
        <f t="shared" si="1"/>
        <v>0.1290322581</v>
      </c>
      <c r="M66" s="4" t="str">
        <f t="shared" si="2"/>
        <v>VALID</v>
      </c>
      <c r="N66" s="8"/>
    </row>
    <row r="67">
      <c r="A67" s="4">
        <v>1066.0</v>
      </c>
      <c r="B67" s="5">
        <v>44954.0</v>
      </c>
      <c r="C67" s="4" t="s">
        <v>11</v>
      </c>
      <c r="D67" s="4" t="s">
        <v>41</v>
      </c>
      <c r="E67" s="4" t="s">
        <v>23</v>
      </c>
      <c r="F67" s="4" t="s">
        <v>39</v>
      </c>
      <c r="G67" s="4" t="s">
        <v>15</v>
      </c>
      <c r="H67" s="6">
        <v>2200.0</v>
      </c>
      <c r="I67" s="7">
        <v>2.0</v>
      </c>
      <c r="J67" s="8">
        <v>0.05</v>
      </c>
      <c r="K67" s="6">
        <v>450.0</v>
      </c>
      <c r="L67" s="8">
        <f t="shared" si="1"/>
        <v>0.2045454545</v>
      </c>
      <c r="M67" s="4" t="str">
        <f t="shared" si="2"/>
        <v>VALID</v>
      </c>
      <c r="N67" s="8"/>
    </row>
    <row r="68">
      <c r="A68" s="4">
        <v>1067.0</v>
      </c>
      <c r="B68" s="5">
        <v>44932.0</v>
      </c>
      <c r="C68" s="4" t="s">
        <v>16</v>
      </c>
      <c r="D68" s="4" t="s">
        <v>31</v>
      </c>
      <c r="E68" s="4" t="s">
        <v>13</v>
      </c>
      <c r="F68" s="4" t="s">
        <v>34</v>
      </c>
      <c r="G68" s="4" t="s">
        <v>20</v>
      </c>
      <c r="H68" s="6">
        <v>15500.0</v>
      </c>
      <c r="I68" s="7">
        <v>1.0</v>
      </c>
      <c r="J68" s="8">
        <v>0.07</v>
      </c>
      <c r="K68" s="6">
        <v>2400.0</v>
      </c>
      <c r="L68" s="8">
        <f t="shared" si="1"/>
        <v>0.1548387097</v>
      </c>
      <c r="M68" s="4" t="str">
        <f t="shared" si="2"/>
        <v>VALID</v>
      </c>
      <c r="N68" s="8"/>
    </row>
    <row r="69">
      <c r="A69" s="4">
        <v>1068.0</v>
      </c>
      <c r="B69" s="5">
        <v>44957.0</v>
      </c>
      <c r="C69" s="4" t="s">
        <v>21</v>
      </c>
      <c r="D69" s="4" t="s">
        <v>40</v>
      </c>
      <c r="E69" s="4" t="s">
        <v>18</v>
      </c>
      <c r="F69" s="4" t="s">
        <v>19</v>
      </c>
      <c r="G69" s="4" t="s">
        <v>15</v>
      </c>
      <c r="H69" s="6">
        <v>7000.0</v>
      </c>
      <c r="I69" s="7">
        <v>1.0</v>
      </c>
      <c r="J69" s="8">
        <v>0.1</v>
      </c>
      <c r="K69" s="6">
        <v>1100.0</v>
      </c>
      <c r="L69" s="8">
        <f t="shared" si="1"/>
        <v>0.1571428571</v>
      </c>
      <c r="M69" s="4" t="str">
        <f t="shared" si="2"/>
        <v>VALID</v>
      </c>
      <c r="N69" s="8"/>
    </row>
    <row r="70">
      <c r="A70" s="4">
        <v>1069.0</v>
      </c>
      <c r="B70" s="5">
        <v>45007.0</v>
      </c>
      <c r="C70" s="4" t="s">
        <v>25</v>
      </c>
      <c r="D70" s="4" t="s">
        <v>26</v>
      </c>
      <c r="E70" s="4" t="s">
        <v>23</v>
      </c>
      <c r="F70" s="4" t="s">
        <v>24</v>
      </c>
      <c r="G70" s="4" t="s">
        <v>28</v>
      </c>
      <c r="H70" s="6">
        <v>1400.0</v>
      </c>
      <c r="I70" s="7">
        <v>3.0</v>
      </c>
      <c r="J70" s="8">
        <v>0.05</v>
      </c>
      <c r="K70" s="6">
        <v>300.0</v>
      </c>
      <c r="L70" s="8">
        <f t="shared" si="1"/>
        <v>0.2142857143</v>
      </c>
      <c r="M70" s="4" t="str">
        <f t="shared" si="2"/>
        <v>VALID</v>
      </c>
      <c r="N70" s="8"/>
    </row>
    <row r="71">
      <c r="A71" s="4">
        <v>1070.0</v>
      </c>
      <c r="B71" s="5">
        <v>44961.0</v>
      </c>
      <c r="C71" s="4" t="s">
        <v>11</v>
      </c>
      <c r="D71" s="4" t="s">
        <v>12</v>
      </c>
      <c r="E71" s="4" t="s">
        <v>13</v>
      </c>
      <c r="F71" s="4" t="s">
        <v>14</v>
      </c>
      <c r="G71" s="4" t="s">
        <v>15</v>
      </c>
      <c r="H71" s="6">
        <v>23000.0</v>
      </c>
      <c r="I71" s="7">
        <v>1.0</v>
      </c>
      <c r="J71" s="8">
        <v>0.08</v>
      </c>
      <c r="K71" s="6">
        <v>3300.0</v>
      </c>
      <c r="L71" s="8">
        <f t="shared" si="1"/>
        <v>0.1434782609</v>
      </c>
      <c r="M71" s="4" t="str">
        <f t="shared" si="2"/>
        <v>VALID</v>
      </c>
      <c r="N71" s="8"/>
    </row>
    <row r="72">
      <c r="A72" s="4">
        <v>1071.0</v>
      </c>
      <c r="B72" s="5">
        <v>44947.0</v>
      </c>
      <c r="C72" s="4" t="s">
        <v>16</v>
      </c>
      <c r="D72" s="4" t="s">
        <v>17</v>
      </c>
      <c r="E72" s="4" t="s">
        <v>18</v>
      </c>
      <c r="F72" s="4" t="s">
        <v>30</v>
      </c>
      <c r="G72" s="4" t="s">
        <v>20</v>
      </c>
      <c r="H72" s="6">
        <v>10000.0</v>
      </c>
      <c r="I72" s="7">
        <v>1.0</v>
      </c>
      <c r="J72" s="8">
        <v>0.14</v>
      </c>
      <c r="K72" s="6">
        <v>1600.0</v>
      </c>
      <c r="L72" s="8">
        <f t="shared" si="1"/>
        <v>0.16</v>
      </c>
      <c r="M72" s="4" t="str">
        <f t="shared" si="2"/>
        <v>VALID</v>
      </c>
      <c r="N72" s="8"/>
    </row>
    <row r="73">
      <c r="A73" s="4">
        <v>1072.0</v>
      </c>
      <c r="B73" s="5">
        <v>44941.0</v>
      </c>
      <c r="C73" s="4" t="s">
        <v>11</v>
      </c>
      <c r="D73" s="4" t="s">
        <v>12</v>
      </c>
      <c r="E73" s="4" t="s">
        <v>13</v>
      </c>
      <c r="F73" s="4" t="s">
        <v>38</v>
      </c>
      <c r="G73" s="4" t="s">
        <v>15</v>
      </c>
      <c r="H73" s="6">
        <v>23490.0</v>
      </c>
      <c r="I73" s="7">
        <v>2.0</v>
      </c>
      <c r="J73" s="8">
        <v>0.1</v>
      </c>
      <c r="K73" s="6">
        <v>3169.0</v>
      </c>
      <c r="L73" s="8">
        <f t="shared" si="1"/>
        <v>0.1349084717</v>
      </c>
      <c r="M73" s="4" t="str">
        <f t="shared" si="2"/>
        <v>VALID</v>
      </c>
      <c r="N73" s="8"/>
    </row>
    <row r="74">
      <c r="A74" s="4">
        <v>1073.0</v>
      </c>
      <c r="B74" s="5">
        <v>44996.0</v>
      </c>
      <c r="C74" s="4" t="s">
        <v>16</v>
      </c>
      <c r="D74" s="4" t="s">
        <v>17</v>
      </c>
      <c r="E74" s="4" t="s">
        <v>18</v>
      </c>
      <c r="F74" s="4" t="s">
        <v>19</v>
      </c>
      <c r="G74" s="4" t="s">
        <v>20</v>
      </c>
      <c r="H74" s="6">
        <v>5714.0</v>
      </c>
      <c r="I74" s="7">
        <v>1.0</v>
      </c>
      <c r="J74" s="8">
        <v>0.15</v>
      </c>
      <c r="K74" s="6">
        <v>761.0</v>
      </c>
      <c r="L74" s="8">
        <f t="shared" si="1"/>
        <v>0.1331816591</v>
      </c>
      <c r="M74" s="4" t="str">
        <f t="shared" si="2"/>
        <v>VALID</v>
      </c>
      <c r="N74" s="8"/>
    </row>
    <row r="75">
      <c r="A75" s="4">
        <v>1074.0</v>
      </c>
      <c r="B75" s="5">
        <v>45009.0</v>
      </c>
      <c r="C75" s="4" t="s">
        <v>21</v>
      </c>
      <c r="D75" s="4" t="s">
        <v>22</v>
      </c>
      <c r="E75" s="4" t="s">
        <v>23</v>
      </c>
      <c r="F75" s="4" t="s">
        <v>24</v>
      </c>
      <c r="G75" s="4" t="s">
        <v>15</v>
      </c>
      <c r="H75" s="6">
        <v>2420.0</v>
      </c>
      <c r="I75" s="7">
        <v>3.0</v>
      </c>
      <c r="J75" s="8">
        <v>0.05</v>
      </c>
      <c r="K75" s="6">
        <v>192.0</v>
      </c>
      <c r="L75" s="8">
        <f t="shared" si="1"/>
        <v>0.07933884298</v>
      </c>
      <c r="M75" s="4" t="str">
        <f t="shared" si="2"/>
        <v>VALID</v>
      </c>
      <c r="N75" s="8"/>
    </row>
    <row r="76">
      <c r="A76" s="4">
        <v>1075.0</v>
      </c>
      <c r="B76" s="5">
        <v>44985.0</v>
      </c>
      <c r="C76" s="4" t="s">
        <v>25</v>
      </c>
      <c r="D76" s="4" t="s">
        <v>26</v>
      </c>
      <c r="E76" s="4" t="s">
        <v>13</v>
      </c>
      <c r="F76" s="4" t="s">
        <v>14</v>
      </c>
      <c r="G76" s="4" t="s">
        <v>28</v>
      </c>
      <c r="H76" s="6">
        <v>52254.0</v>
      </c>
      <c r="I76" s="7">
        <v>1.0</v>
      </c>
      <c r="J76" s="8">
        <v>0.08</v>
      </c>
      <c r="K76" s="6">
        <v>7173.0</v>
      </c>
      <c r="L76" s="8">
        <f t="shared" si="1"/>
        <v>0.1372717878</v>
      </c>
      <c r="M76" s="4" t="str">
        <f t="shared" si="2"/>
        <v>VALID</v>
      </c>
      <c r="N76" s="8"/>
    </row>
    <row r="77">
      <c r="A77" s="4">
        <v>1076.0</v>
      </c>
      <c r="B77" s="5">
        <v>44973.0</v>
      </c>
      <c r="C77" s="4" t="s">
        <v>11</v>
      </c>
      <c r="D77" s="4" t="s">
        <v>29</v>
      </c>
      <c r="E77" s="4" t="s">
        <v>18</v>
      </c>
      <c r="F77" s="4" t="s">
        <v>30</v>
      </c>
      <c r="G77" s="4" t="s">
        <v>15</v>
      </c>
      <c r="H77" s="6">
        <v>7576.0</v>
      </c>
      <c r="I77" s="7">
        <v>1.0</v>
      </c>
      <c r="J77" s="8">
        <v>0.12</v>
      </c>
      <c r="K77" s="6">
        <v>936.0</v>
      </c>
      <c r="L77" s="8">
        <f t="shared" si="1"/>
        <v>0.1235480465</v>
      </c>
      <c r="M77" s="4" t="str">
        <f t="shared" si="2"/>
        <v>VALID</v>
      </c>
      <c r="N77" s="8"/>
    </row>
    <row r="78">
      <c r="A78" s="4">
        <v>1077.0</v>
      </c>
      <c r="B78" s="5">
        <v>45011.0</v>
      </c>
      <c r="C78" s="4" t="s">
        <v>16</v>
      </c>
      <c r="D78" s="4" t="s">
        <v>17</v>
      </c>
      <c r="E78" s="4" t="s">
        <v>23</v>
      </c>
      <c r="F78" s="4" t="s">
        <v>32</v>
      </c>
      <c r="G78" s="4" t="s">
        <v>20</v>
      </c>
      <c r="H78" s="6">
        <v>3335.0</v>
      </c>
      <c r="I78" s="7">
        <v>2.0</v>
      </c>
      <c r="J78" s="8">
        <v>0.1</v>
      </c>
      <c r="K78" s="6">
        <v>1013.0</v>
      </c>
      <c r="L78" s="8">
        <f t="shared" si="1"/>
        <v>0.3037481259</v>
      </c>
      <c r="M78" s="4" t="str">
        <f t="shared" si="2"/>
        <v>VALID</v>
      </c>
      <c r="N78" s="8"/>
    </row>
    <row r="79">
      <c r="A79" s="4">
        <v>1078.0</v>
      </c>
      <c r="B79" s="5">
        <v>44959.0</v>
      </c>
      <c r="C79" s="4" t="s">
        <v>21</v>
      </c>
      <c r="D79" s="4" t="s">
        <v>33</v>
      </c>
      <c r="E79" s="4" t="s">
        <v>13</v>
      </c>
      <c r="F79" s="4" t="s">
        <v>27</v>
      </c>
      <c r="G79" s="4" t="s">
        <v>15</v>
      </c>
      <c r="H79" s="6">
        <v>13544.0</v>
      </c>
      <c r="I79" s="7">
        <v>1.0</v>
      </c>
      <c r="J79" s="8">
        <v>0.07</v>
      </c>
      <c r="K79" s="6">
        <v>2431.0</v>
      </c>
      <c r="L79" s="8">
        <f t="shared" si="1"/>
        <v>0.1794890727</v>
      </c>
      <c r="M79" s="4" t="str">
        <f t="shared" si="2"/>
        <v>VALID</v>
      </c>
      <c r="N79" s="8"/>
    </row>
    <row r="80">
      <c r="A80" s="4">
        <v>1079.0</v>
      </c>
      <c r="B80" s="5">
        <v>44968.0</v>
      </c>
      <c r="C80" s="4" t="s">
        <v>25</v>
      </c>
      <c r="D80" s="4" t="s">
        <v>26</v>
      </c>
      <c r="E80" s="4" t="s">
        <v>18</v>
      </c>
      <c r="F80" s="4" t="s">
        <v>36</v>
      </c>
      <c r="G80" s="4" t="s">
        <v>28</v>
      </c>
      <c r="H80" s="6">
        <v>30525.0</v>
      </c>
      <c r="I80" s="7">
        <v>1.0</v>
      </c>
      <c r="J80" s="8">
        <v>0.2</v>
      </c>
      <c r="K80" s="6">
        <v>3309.0</v>
      </c>
      <c r="L80" s="8">
        <f t="shared" si="1"/>
        <v>0.1084029484</v>
      </c>
      <c r="M80" s="4" t="str">
        <f t="shared" si="2"/>
        <v>VALID</v>
      </c>
      <c r="N80" s="8"/>
    </row>
    <row r="81">
      <c r="A81" s="4">
        <v>1080.0</v>
      </c>
      <c r="B81" s="5">
        <v>44963.0</v>
      </c>
      <c r="C81" s="4" t="s">
        <v>11</v>
      </c>
      <c r="D81" s="4" t="s">
        <v>12</v>
      </c>
      <c r="E81" s="4" t="s">
        <v>23</v>
      </c>
      <c r="F81" s="4" t="s">
        <v>37</v>
      </c>
      <c r="G81" s="4" t="s">
        <v>15</v>
      </c>
      <c r="H81" s="6">
        <v>4228.0</v>
      </c>
      <c r="I81" s="7">
        <v>1.0</v>
      </c>
      <c r="J81" s="8">
        <v>0.1</v>
      </c>
      <c r="K81" s="6">
        <v>169.0</v>
      </c>
      <c r="L81" s="8">
        <f t="shared" si="1"/>
        <v>0.03997161779</v>
      </c>
      <c r="M81" s="4" t="str">
        <f t="shared" si="2"/>
        <v>VALID</v>
      </c>
      <c r="N81" s="8"/>
    </row>
    <row r="82">
      <c r="A82" s="4">
        <v>1081.0</v>
      </c>
      <c r="B82" s="5">
        <v>44970.0</v>
      </c>
      <c r="C82" s="4" t="s">
        <v>16</v>
      </c>
      <c r="D82" s="4" t="s">
        <v>17</v>
      </c>
      <c r="E82" s="4" t="s">
        <v>13</v>
      </c>
      <c r="F82" s="4" t="s">
        <v>34</v>
      </c>
      <c r="G82" s="4" t="s">
        <v>20</v>
      </c>
      <c r="H82" s="6">
        <v>4828.0</v>
      </c>
      <c r="I82" s="7">
        <v>1.0</v>
      </c>
      <c r="J82" s="8">
        <v>0.05</v>
      </c>
      <c r="K82" s="6">
        <v>692.0</v>
      </c>
      <c r="L82" s="8">
        <f t="shared" si="1"/>
        <v>0.1433305717</v>
      </c>
      <c r="M82" s="4" t="str">
        <f t="shared" si="2"/>
        <v>VALID</v>
      </c>
      <c r="N82" s="8"/>
    </row>
    <row r="83">
      <c r="A83" s="4">
        <v>1082.0</v>
      </c>
      <c r="B83" s="5">
        <v>45016.0</v>
      </c>
      <c r="C83" s="4" t="s">
        <v>21</v>
      </c>
      <c r="D83" s="4" t="s">
        <v>22</v>
      </c>
      <c r="E83" s="4" t="s">
        <v>18</v>
      </c>
      <c r="F83" s="4" t="s">
        <v>19</v>
      </c>
      <c r="G83" s="4" t="s">
        <v>15</v>
      </c>
      <c r="H83" s="6">
        <v>8504.0</v>
      </c>
      <c r="I83" s="7">
        <v>1.0</v>
      </c>
      <c r="J83" s="8">
        <v>0.1</v>
      </c>
      <c r="K83" s="6">
        <v>1542.0</v>
      </c>
      <c r="L83" s="8">
        <f t="shared" si="1"/>
        <v>0.1813264346</v>
      </c>
      <c r="M83" s="4" t="str">
        <f t="shared" si="2"/>
        <v>VALID</v>
      </c>
      <c r="N83" s="8"/>
    </row>
    <row r="84">
      <c r="A84" s="4">
        <v>1083.0</v>
      </c>
      <c r="B84" s="5">
        <v>44953.0</v>
      </c>
      <c r="C84" s="4" t="s">
        <v>25</v>
      </c>
      <c r="D84" s="4" t="s">
        <v>26</v>
      </c>
      <c r="E84" s="4" t="s">
        <v>23</v>
      </c>
      <c r="F84" s="4" t="s">
        <v>39</v>
      </c>
      <c r="G84" s="4" t="s">
        <v>28</v>
      </c>
      <c r="H84" s="6">
        <v>-324.0</v>
      </c>
      <c r="I84" s="7">
        <v>2.0</v>
      </c>
      <c r="J84" s="8">
        <v>0.05</v>
      </c>
      <c r="K84" s="6">
        <v>599.0</v>
      </c>
      <c r="L84" s="8">
        <f t="shared" si="1"/>
        <v>-1.848765432</v>
      </c>
      <c r="M84" s="4" t="str">
        <f t="shared" si="2"/>
        <v>INVALID</v>
      </c>
      <c r="N84" s="8"/>
    </row>
    <row r="85">
      <c r="A85" s="4">
        <v>1084.0</v>
      </c>
      <c r="B85" s="5">
        <v>44970.0</v>
      </c>
      <c r="C85" s="4" t="s">
        <v>11</v>
      </c>
      <c r="D85" s="4" t="s">
        <v>29</v>
      </c>
      <c r="E85" s="4" t="s">
        <v>13</v>
      </c>
      <c r="F85" s="4" t="s">
        <v>38</v>
      </c>
      <c r="G85" s="4" t="s">
        <v>15</v>
      </c>
      <c r="H85" s="6">
        <v>21361.0</v>
      </c>
      <c r="I85" s="7">
        <v>2.0</v>
      </c>
      <c r="J85" s="8">
        <v>0.08</v>
      </c>
      <c r="K85" s="6">
        <v>3062.0</v>
      </c>
      <c r="L85" s="8">
        <f t="shared" si="1"/>
        <v>0.143345349</v>
      </c>
      <c r="M85" s="4" t="str">
        <f t="shared" si="2"/>
        <v>VALID</v>
      </c>
      <c r="N85" s="8"/>
    </row>
    <row r="86">
      <c r="A86" s="4">
        <v>1085.0</v>
      </c>
      <c r="B86" s="5">
        <v>44934.0</v>
      </c>
      <c r="C86" s="4" t="s">
        <v>16</v>
      </c>
      <c r="D86" s="4" t="s">
        <v>17</v>
      </c>
      <c r="E86" s="4" t="s">
        <v>18</v>
      </c>
      <c r="F86" s="4" t="s">
        <v>30</v>
      </c>
      <c r="G86" s="4" t="s">
        <v>20</v>
      </c>
      <c r="H86" s="6">
        <v>10777.0</v>
      </c>
      <c r="I86" s="7">
        <v>1.0</v>
      </c>
      <c r="J86" s="8">
        <v>0.15</v>
      </c>
      <c r="K86" s="6">
        <v>1454.0</v>
      </c>
      <c r="L86" s="8">
        <f t="shared" si="1"/>
        <v>0.1349169528</v>
      </c>
      <c r="M86" s="4" t="str">
        <f t="shared" si="2"/>
        <v>VALID</v>
      </c>
      <c r="N86" s="8"/>
    </row>
    <row r="87">
      <c r="A87" s="4">
        <v>1086.0</v>
      </c>
      <c r="B87" s="5">
        <v>44995.0</v>
      </c>
      <c r="C87" s="4" t="s">
        <v>21</v>
      </c>
      <c r="D87" s="4" t="s">
        <v>33</v>
      </c>
      <c r="E87" s="4" t="s">
        <v>23</v>
      </c>
      <c r="F87" s="4" t="s">
        <v>24</v>
      </c>
      <c r="G87" s="4" t="s">
        <v>15</v>
      </c>
      <c r="H87" s="6">
        <v>3081.0</v>
      </c>
      <c r="I87" s="7">
        <v>3.0</v>
      </c>
      <c r="J87" s="8">
        <v>0.05</v>
      </c>
      <c r="K87" s="6">
        <v>629.0</v>
      </c>
      <c r="L87" s="8">
        <f t="shared" si="1"/>
        <v>0.2041544953</v>
      </c>
      <c r="M87" s="4" t="str">
        <f t="shared" si="2"/>
        <v>VALID</v>
      </c>
      <c r="N87" s="8"/>
    </row>
    <row r="88">
      <c r="A88" s="4">
        <v>1087.0</v>
      </c>
      <c r="B88" s="5">
        <v>44936.0</v>
      </c>
      <c r="C88" s="4" t="s">
        <v>25</v>
      </c>
      <c r="D88" s="4" t="s">
        <v>26</v>
      </c>
      <c r="E88" s="4" t="s">
        <v>13</v>
      </c>
      <c r="F88" s="4" t="s">
        <v>14</v>
      </c>
      <c r="G88" s="4" t="s">
        <v>28</v>
      </c>
      <c r="H88" s="6">
        <v>54766.0</v>
      </c>
      <c r="I88" s="7">
        <v>1.0</v>
      </c>
      <c r="J88" s="8">
        <v>0.1</v>
      </c>
      <c r="K88" s="6">
        <v>6841.0</v>
      </c>
      <c r="L88" s="8">
        <f t="shared" si="1"/>
        <v>0.1249132674</v>
      </c>
      <c r="M88" s="4" t="str">
        <f t="shared" si="2"/>
        <v>VALID</v>
      </c>
      <c r="N88" s="8"/>
    </row>
    <row r="89">
      <c r="A89" s="4">
        <v>1088.0</v>
      </c>
      <c r="B89" s="5">
        <v>44999.0</v>
      </c>
      <c r="C89" s="4" t="s">
        <v>11</v>
      </c>
      <c r="D89" s="4" t="s">
        <v>12</v>
      </c>
      <c r="E89" s="4" t="s">
        <v>18</v>
      </c>
      <c r="F89" s="4" t="s">
        <v>36</v>
      </c>
      <c r="G89" s="4" t="s">
        <v>15</v>
      </c>
      <c r="H89" s="6">
        <v>28253.0</v>
      </c>
      <c r="I89" s="7">
        <v>1.0</v>
      </c>
      <c r="J89" s="8">
        <v>0.18</v>
      </c>
      <c r="K89" s="6">
        <v>2851.0</v>
      </c>
      <c r="L89" s="8">
        <f t="shared" si="1"/>
        <v>0.1009096379</v>
      </c>
      <c r="M89" s="4" t="str">
        <f t="shared" si="2"/>
        <v>VALID</v>
      </c>
      <c r="N89" s="8"/>
    </row>
    <row r="90">
      <c r="A90" s="4">
        <v>1089.0</v>
      </c>
      <c r="B90" s="5">
        <v>44968.0</v>
      </c>
      <c r="C90" s="4" t="s">
        <v>16</v>
      </c>
      <c r="D90" s="4" t="s">
        <v>17</v>
      </c>
      <c r="E90" s="4" t="s">
        <v>23</v>
      </c>
      <c r="F90" s="4" t="s">
        <v>32</v>
      </c>
      <c r="G90" s="4" t="s">
        <v>20</v>
      </c>
      <c r="H90" s="6">
        <v>-149.0</v>
      </c>
      <c r="I90" s="7">
        <v>2.0</v>
      </c>
      <c r="J90" s="8">
        <v>0.1</v>
      </c>
      <c r="K90" s="6">
        <v>1217.0</v>
      </c>
      <c r="L90" s="8">
        <f t="shared" si="1"/>
        <v>-8.167785235</v>
      </c>
      <c r="M90" s="4" t="str">
        <f t="shared" si="2"/>
        <v>INVALID</v>
      </c>
      <c r="N90" s="8"/>
    </row>
    <row r="91">
      <c r="A91" s="4">
        <v>1090.0</v>
      </c>
      <c r="B91" s="5">
        <v>44974.0</v>
      </c>
      <c r="C91" s="4" t="s">
        <v>21</v>
      </c>
      <c r="D91" s="4" t="s">
        <v>22</v>
      </c>
      <c r="E91" s="4" t="s">
        <v>13</v>
      </c>
      <c r="F91" s="4" t="s">
        <v>27</v>
      </c>
      <c r="G91" s="4" t="s">
        <v>15</v>
      </c>
      <c r="H91" s="6">
        <v>11156.0</v>
      </c>
      <c r="I91" s="7">
        <v>1.0</v>
      </c>
      <c r="J91" s="8">
        <v>0.06</v>
      </c>
      <c r="K91" s="6">
        <v>2762.0</v>
      </c>
      <c r="L91" s="8">
        <f t="shared" si="1"/>
        <v>0.2475797777</v>
      </c>
      <c r="M91" s="4" t="str">
        <f t="shared" si="2"/>
        <v>VALID</v>
      </c>
      <c r="N91" s="8"/>
    </row>
    <row r="92">
      <c r="A92" s="4">
        <v>1091.0</v>
      </c>
      <c r="B92" s="5">
        <v>44993.0</v>
      </c>
      <c r="C92" s="4" t="s">
        <v>25</v>
      </c>
      <c r="D92" s="4" t="s">
        <v>26</v>
      </c>
      <c r="E92" s="4" t="s">
        <v>18</v>
      </c>
      <c r="F92" s="4" t="s">
        <v>19</v>
      </c>
      <c r="G92" s="4" t="s">
        <v>28</v>
      </c>
      <c r="H92" s="6">
        <v>7797.0</v>
      </c>
      <c r="I92" s="7">
        <v>1.0</v>
      </c>
      <c r="J92" s="8">
        <v>0.12</v>
      </c>
      <c r="K92" s="6">
        <v>1870.0</v>
      </c>
      <c r="L92" s="8">
        <f t="shared" si="1"/>
        <v>0.2398358343</v>
      </c>
      <c r="M92" s="4" t="str">
        <f t="shared" si="2"/>
        <v>VALID</v>
      </c>
      <c r="N92" s="8"/>
    </row>
    <row r="93">
      <c r="A93" s="4">
        <v>1092.0</v>
      </c>
      <c r="B93" s="5">
        <v>45015.0</v>
      </c>
      <c r="C93" s="4" t="s">
        <v>11</v>
      </c>
      <c r="D93" s="4" t="s">
        <v>29</v>
      </c>
      <c r="E93" s="4" t="s">
        <v>13</v>
      </c>
      <c r="F93" s="4" t="s">
        <v>34</v>
      </c>
      <c r="G93" s="4" t="s">
        <v>15</v>
      </c>
      <c r="H93" s="6">
        <v>3747.0</v>
      </c>
      <c r="I93" s="7">
        <v>1.0</v>
      </c>
      <c r="J93" s="8">
        <v>0.07</v>
      </c>
      <c r="K93" s="6">
        <v>1364.0</v>
      </c>
      <c r="L93" s="8">
        <f t="shared" si="1"/>
        <v>0.364024553</v>
      </c>
      <c r="M93" s="4" t="str">
        <f t="shared" si="2"/>
        <v>VALID</v>
      </c>
      <c r="N93" s="8"/>
    </row>
    <row r="94">
      <c r="A94" s="4">
        <v>1093.0</v>
      </c>
      <c r="B94" s="5">
        <v>45014.0</v>
      </c>
      <c r="C94" s="4" t="s">
        <v>16</v>
      </c>
      <c r="D94" s="4" t="s">
        <v>17</v>
      </c>
      <c r="E94" s="4" t="s">
        <v>18</v>
      </c>
      <c r="F94" s="4" t="s">
        <v>36</v>
      </c>
      <c r="G94" s="4" t="s">
        <v>20</v>
      </c>
      <c r="H94" s="6">
        <v>20276.0</v>
      </c>
      <c r="I94" s="7">
        <v>1.0</v>
      </c>
      <c r="J94" s="8">
        <v>0.18</v>
      </c>
      <c r="K94" s="6">
        <v>3408.0</v>
      </c>
      <c r="L94" s="8">
        <f t="shared" si="1"/>
        <v>0.1680804892</v>
      </c>
      <c r="M94" s="4" t="str">
        <f t="shared" si="2"/>
        <v>VALID</v>
      </c>
      <c r="N94" s="8"/>
    </row>
    <row r="95">
      <c r="A95" s="4">
        <v>1094.0</v>
      </c>
      <c r="B95" s="5">
        <v>44933.0</v>
      </c>
      <c r="C95" s="4" t="s">
        <v>21</v>
      </c>
      <c r="D95" s="4" t="s">
        <v>33</v>
      </c>
      <c r="E95" s="4" t="s">
        <v>23</v>
      </c>
      <c r="F95" s="4" t="s">
        <v>37</v>
      </c>
      <c r="G95" s="4" t="s">
        <v>15</v>
      </c>
      <c r="H95" s="6">
        <v>7744.0</v>
      </c>
      <c r="I95" s="7">
        <v>1.0</v>
      </c>
      <c r="J95" s="8">
        <v>0.09</v>
      </c>
      <c r="K95" s="6">
        <v>1555.0</v>
      </c>
      <c r="L95" s="8">
        <f t="shared" si="1"/>
        <v>0.2008006198</v>
      </c>
      <c r="M95" s="4" t="str">
        <f t="shared" si="2"/>
        <v>VALID</v>
      </c>
      <c r="N95" s="8"/>
    </row>
    <row r="96">
      <c r="A96" s="4">
        <v>1095.0</v>
      </c>
      <c r="B96" s="5">
        <v>44932.0</v>
      </c>
      <c r="C96" s="4" t="s">
        <v>25</v>
      </c>
      <c r="D96" s="4" t="s">
        <v>26</v>
      </c>
      <c r="E96" s="4" t="s">
        <v>13</v>
      </c>
      <c r="F96" s="4" t="s">
        <v>27</v>
      </c>
      <c r="G96" s="4" t="s">
        <v>28</v>
      </c>
      <c r="H96" s="6">
        <v>3079.0</v>
      </c>
      <c r="I96" s="7">
        <v>1.0</v>
      </c>
      <c r="J96" s="8">
        <v>0.06</v>
      </c>
      <c r="K96" s="6">
        <v>266.0</v>
      </c>
      <c r="L96" s="8">
        <f t="shared" si="1"/>
        <v>0.08639168561</v>
      </c>
      <c r="M96" s="4" t="str">
        <f t="shared" si="2"/>
        <v>VALID</v>
      </c>
      <c r="N96" s="8"/>
    </row>
    <row r="97">
      <c r="A97" s="4">
        <v>1096.0</v>
      </c>
      <c r="B97" s="5">
        <v>45006.0</v>
      </c>
      <c r="C97" s="4" t="s">
        <v>11</v>
      </c>
      <c r="D97" s="4" t="s">
        <v>12</v>
      </c>
      <c r="E97" s="4" t="s">
        <v>18</v>
      </c>
      <c r="F97" s="4" t="s">
        <v>19</v>
      </c>
      <c r="G97" s="4" t="s">
        <v>15</v>
      </c>
      <c r="H97" s="6">
        <v>3866.0</v>
      </c>
      <c r="I97" s="7">
        <v>1.0</v>
      </c>
      <c r="J97" s="8">
        <v>0.1</v>
      </c>
      <c r="K97" s="6">
        <v>319.0</v>
      </c>
      <c r="L97" s="8">
        <f t="shared" si="1"/>
        <v>0.08251422659</v>
      </c>
      <c r="M97" s="4" t="str">
        <f t="shared" si="2"/>
        <v>VALID</v>
      </c>
      <c r="N97" s="8"/>
    </row>
    <row r="98">
      <c r="A98" s="4">
        <v>1097.0</v>
      </c>
      <c r="B98" s="5">
        <v>44971.0</v>
      </c>
      <c r="C98" s="4" t="s">
        <v>16</v>
      </c>
      <c r="D98" s="4" t="s">
        <v>17</v>
      </c>
      <c r="E98" s="4" t="s">
        <v>23</v>
      </c>
      <c r="F98" s="4" t="s">
        <v>39</v>
      </c>
      <c r="G98" s="4" t="s">
        <v>20</v>
      </c>
      <c r="H98" s="6">
        <v>34112.0</v>
      </c>
      <c r="I98" s="7">
        <v>2.0</v>
      </c>
      <c r="J98" s="8">
        <v>0.05</v>
      </c>
      <c r="K98" s="6">
        <v>4857.0</v>
      </c>
      <c r="L98" s="8">
        <f t="shared" si="1"/>
        <v>0.1423839118</v>
      </c>
      <c r="M98" s="4" t="str">
        <f t="shared" si="2"/>
        <v>VALID</v>
      </c>
      <c r="N98" s="8"/>
    </row>
    <row r="99">
      <c r="A99" s="4">
        <v>1098.0</v>
      </c>
      <c r="B99" s="5">
        <v>44935.0</v>
      </c>
      <c r="C99" s="4" t="s">
        <v>21</v>
      </c>
      <c r="D99" s="4" t="s">
        <v>22</v>
      </c>
      <c r="E99" s="4" t="s">
        <v>13</v>
      </c>
      <c r="F99" s="4" t="s">
        <v>14</v>
      </c>
      <c r="G99" s="4" t="s">
        <v>15</v>
      </c>
      <c r="H99" s="6">
        <v>2693.0</v>
      </c>
      <c r="I99" s="7">
        <v>1.0</v>
      </c>
      <c r="J99" s="8">
        <v>0.08</v>
      </c>
      <c r="K99" s="6">
        <v>431.0</v>
      </c>
      <c r="L99" s="8">
        <f t="shared" si="1"/>
        <v>0.16004456</v>
      </c>
      <c r="M99" s="4" t="str">
        <f t="shared" si="2"/>
        <v>VALID</v>
      </c>
      <c r="N99" s="8"/>
    </row>
    <row r="100">
      <c r="A100" s="4">
        <v>1099.0</v>
      </c>
      <c r="B100" s="5">
        <v>44946.0</v>
      </c>
      <c r="C100" s="4" t="s">
        <v>25</v>
      </c>
      <c r="D100" s="4" t="s">
        <v>26</v>
      </c>
      <c r="E100" s="4" t="s">
        <v>18</v>
      </c>
      <c r="F100" s="4" t="s">
        <v>30</v>
      </c>
      <c r="G100" s="4" t="s">
        <v>28</v>
      </c>
      <c r="H100" s="6">
        <v>56944.0</v>
      </c>
      <c r="I100" s="7">
        <v>1.0</v>
      </c>
      <c r="J100" s="8">
        <v>0.14</v>
      </c>
      <c r="K100" s="6">
        <v>6517.0</v>
      </c>
      <c r="L100" s="8">
        <f t="shared" si="1"/>
        <v>0.1144457713</v>
      </c>
      <c r="M100" s="4" t="str">
        <f t="shared" si="2"/>
        <v>VALID</v>
      </c>
      <c r="N100" s="8"/>
    </row>
    <row r="101">
      <c r="A101" s="4">
        <v>1100.0</v>
      </c>
      <c r="B101" s="5">
        <v>44973.0</v>
      </c>
      <c r="C101" s="4" t="s">
        <v>11</v>
      </c>
      <c r="D101" s="4" t="s">
        <v>29</v>
      </c>
      <c r="E101" s="4" t="s">
        <v>23</v>
      </c>
      <c r="F101" s="4" t="s">
        <v>32</v>
      </c>
      <c r="G101" s="4" t="s">
        <v>15</v>
      </c>
      <c r="H101" s="6">
        <v>4032.0</v>
      </c>
      <c r="I101" s="7">
        <v>2.0</v>
      </c>
      <c r="J101" s="8">
        <v>0.1</v>
      </c>
      <c r="K101" s="6">
        <v>1620.0</v>
      </c>
      <c r="L101" s="8">
        <f t="shared" si="1"/>
        <v>0.4017857143</v>
      </c>
      <c r="M101" s="4" t="str">
        <f t="shared" si="2"/>
        <v>VALID</v>
      </c>
      <c r="N101" s="8"/>
    </row>
    <row r="102">
      <c r="A102" s="4">
        <v>1101.0</v>
      </c>
      <c r="B102" s="5">
        <v>44969.0</v>
      </c>
      <c r="C102" s="4" t="s">
        <v>16</v>
      </c>
      <c r="D102" s="4" t="s">
        <v>17</v>
      </c>
      <c r="E102" s="4" t="s">
        <v>13</v>
      </c>
      <c r="F102" s="4" t="s">
        <v>38</v>
      </c>
      <c r="G102" s="4" t="s">
        <v>20</v>
      </c>
      <c r="H102" s="6">
        <v>78.0</v>
      </c>
      <c r="I102" s="7">
        <v>2.0</v>
      </c>
      <c r="J102" s="8">
        <v>0.08</v>
      </c>
      <c r="K102" s="6">
        <v>393.0</v>
      </c>
      <c r="L102" s="8">
        <f t="shared" si="1"/>
        <v>5.038461538</v>
      </c>
      <c r="M102" s="4" t="str">
        <f t="shared" si="2"/>
        <v>VALID</v>
      </c>
      <c r="N102" s="8"/>
    </row>
    <row r="103">
      <c r="A103" s="4">
        <v>1102.0</v>
      </c>
      <c r="B103" s="5">
        <v>44957.0</v>
      </c>
      <c r="C103" s="4" t="s">
        <v>21</v>
      </c>
      <c r="D103" s="4" t="s">
        <v>33</v>
      </c>
      <c r="E103" s="4" t="s">
        <v>13</v>
      </c>
      <c r="F103" s="4" t="s">
        <v>34</v>
      </c>
      <c r="G103" s="4" t="s">
        <v>15</v>
      </c>
      <c r="H103" s="6">
        <v>19545.0</v>
      </c>
      <c r="I103" s="7">
        <v>1.0</v>
      </c>
      <c r="J103" s="8">
        <v>0.07</v>
      </c>
      <c r="K103" s="6">
        <v>3452.0</v>
      </c>
      <c r="L103" s="8">
        <f t="shared" si="1"/>
        <v>0.1766180609</v>
      </c>
      <c r="M103" s="4" t="str">
        <f t="shared" si="2"/>
        <v>VALID</v>
      </c>
      <c r="N103" s="8"/>
    </row>
    <row r="104">
      <c r="A104" s="4">
        <v>1103.0</v>
      </c>
      <c r="B104" s="5">
        <v>45015.0</v>
      </c>
      <c r="C104" s="4" t="s">
        <v>25</v>
      </c>
      <c r="D104" s="4" t="s">
        <v>26</v>
      </c>
      <c r="E104" s="4" t="s">
        <v>18</v>
      </c>
      <c r="F104" s="4" t="s">
        <v>36</v>
      </c>
      <c r="G104" s="4" t="s">
        <v>28</v>
      </c>
      <c r="H104" s="6">
        <v>8405.0</v>
      </c>
      <c r="I104" s="7">
        <v>1.0</v>
      </c>
      <c r="J104" s="8">
        <v>0.17</v>
      </c>
      <c r="K104" s="6">
        <v>1784.0</v>
      </c>
      <c r="L104" s="8">
        <f t="shared" si="1"/>
        <v>0.2122546104</v>
      </c>
      <c r="M104" s="4" t="str">
        <f t="shared" si="2"/>
        <v>VALID</v>
      </c>
      <c r="N104" s="8"/>
    </row>
    <row r="105">
      <c r="A105" s="4">
        <v>1104.0</v>
      </c>
      <c r="B105" s="5">
        <v>45009.0</v>
      </c>
      <c r="C105" s="4" t="s">
        <v>11</v>
      </c>
      <c r="D105" s="4" t="s">
        <v>12</v>
      </c>
      <c r="E105" s="4" t="s">
        <v>23</v>
      </c>
      <c r="F105" s="4" t="s">
        <v>39</v>
      </c>
      <c r="G105" s="4" t="s">
        <v>15</v>
      </c>
      <c r="H105" s="6">
        <v>-382.0</v>
      </c>
      <c r="I105" s="7">
        <v>2.0</v>
      </c>
      <c r="J105" s="8">
        <v>0.05</v>
      </c>
      <c r="K105" s="6">
        <v>677.0</v>
      </c>
      <c r="L105" s="8">
        <f t="shared" si="1"/>
        <v>-1.772251309</v>
      </c>
      <c r="M105" s="4" t="str">
        <f t="shared" si="2"/>
        <v>INVALID</v>
      </c>
      <c r="N105" s="8"/>
    </row>
    <row r="106">
      <c r="A106" s="4">
        <v>1105.0</v>
      </c>
      <c r="B106" s="5">
        <v>44966.0</v>
      </c>
      <c r="C106" s="4" t="s">
        <v>16</v>
      </c>
      <c r="D106" s="4" t="s">
        <v>17</v>
      </c>
      <c r="E106" s="4" t="s">
        <v>13</v>
      </c>
      <c r="F106" s="4" t="s">
        <v>14</v>
      </c>
      <c r="G106" s="4" t="s">
        <v>20</v>
      </c>
      <c r="H106" s="6">
        <v>14342.0</v>
      </c>
      <c r="I106" s="7">
        <v>1.0</v>
      </c>
      <c r="J106" s="8">
        <v>0.09</v>
      </c>
      <c r="K106" s="6">
        <v>3256.0</v>
      </c>
      <c r="L106" s="8">
        <f t="shared" si="1"/>
        <v>0.2270255195</v>
      </c>
      <c r="M106" s="4" t="str">
        <f t="shared" si="2"/>
        <v>VALID</v>
      </c>
      <c r="N106" s="8"/>
    </row>
    <row r="107">
      <c r="A107" s="4">
        <v>1106.0</v>
      </c>
      <c r="B107" s="5">
        <v>45006.0</v>
      </c>
      <c r="C107" s="4" t="s">
        <v>21</v>
      </c>
      <c r="D107" s="4" t="s">
        <v>22</v>
      </c>
      <c r="E107" s="4" t="s">
        <v>18</v>
      </c>
      <c r="F107" s="4" t="s">
        <v>19</v>
      </c>
      <c r="G107" s="4" t="s">
        <v>15</v>
      </c>
      <c r="H107" s="6">
        <v>30548.0</v>
      </c>
      <c r="I107" s="7">
        <v>1.0</v>
      </c>
      <c r="J107" s="8">
        <v>0.1</v>
      </c>
      <c r="K107" s="6">
        <v>3179.0</v>
      </c>
      <c r="L107" s="8">
        <f t="shared" si="1"/>
        <v>0.1040657326</v>
      </c>
      <c r="M107" s="4" t="str">
        <f t="shared" si="2"/>
        <v>VALID</v>
      </c>
      <c r="N107" s="8"/>
    </row>
    <row r="108">
      <c r="A108" s="4">
        <v>1107.0</v>
      </c>
      <c r="B108" s="5">
        <v>44963.0</v>
      </c>
      <c r="C108" s="4" t="s">
        <v>25</v>
      </c>
      <c r="D108" s="4" t="s">
        <v>26</v>
      </c>
      <c r="E108" s="4" t="s">
        <v>23</v>
      </c>
      <c r="F108" s="4" t="s">
        <v>24</v>
      </c>
      <c r="G108" s="4" t="s">
        <v>28</v>
      </c>
      <c r="H108" s="6">
        <v>6886.0</v>
      </c>
      <c r="I108" s="7">
        <v>3.0</v>
      </c>
      <c r="J108" s="8">
        <v>0.05</v>
      </c>
      <c r="K108" s="6">
        <v>406.0</v>
      </c>
      <c r="L108" s="8">
        <f t="shared" si="1"/>
        <v>0.05896020912</v>
      </c>
      <c r="M108" s="4" t="str">
        <f t="shared" si="2"/>
        <v>VALID</v>
      </c>
      <c r="N108" s="8"/>
    </row>
    <row r="109">
      <c r="A109" s="4">
        <v>1108.0</v>
      </c>
      <c r="B109" s="5">
        <v>44935.0</v>
      </c>
      <c r="C109" s="4" t="s">
        <v>11</v>
      </c>
      <c r="D109" s="4" t="s">
        <v>29</v>
      </c>
      <c r="E109" s="4" t="s">
        <v>13</v>
      </c>
      <c r="F109" s="4" t="s">
        <v>27</v>
      </c>
      <c r="G109" s="4" t="s">
        <v>15</v>
      </c>
      <c r="H109" s="6">
        <v>59409.0</v>
      </c>
      <c r="I109" s="7">
        <v>1.0</v>
      </c>
      <c r="J109" s="8">
        <v>0.06</v>
      </c>
      <c r="K109" s="6">
        <v>8169.0</v>
      </c>
      <c r="L109" s="8">
        <f t="shared" si="1"/>
        <v>0.1375044185</v>
      </c>
      <c r="M109" s="4" t="str">
        <f t="shared" si="2"/>
        <v>VALID</v>
      </c>
      <c r="N109" s="8"/>
    </row>
    <row r="110">
      <c r="A110" s="4">
        <v>1109.0</v>
      </c>
      <c r="B110" s="5">
        <v>44954.0</v>
      </c>
      <c r="C110" s="4" t="s">
        <v>16</v>
      </c>
      <c r="D110" s="4" t="s">
        <v>17</v>
      </c>
      <c r="E110" s="4" t="s">
        <v>18</v>
      </c>
      <c r="F110" s="4" t="s">
        <v>30</v>
      </c>
      <c r="G110" s="4" t="s">
        <v>20</v>
      </c>
      <c r="H110" s="6">
        <v>9333.0</v>
      </c>
      <c r="I110" s="7">
        <v>1.0</v>
      </c>
      <c r="J110" s="8">
        <v>0.15</v>
      </c>
      <c r="K110" s="6">
        <v>1752.0</v>
      </c>
      <c r="L110" s="8">
        <f t="shared" si="1"/>
        <v>0.18772099</v>
      </c>
      <c r="M110" s="4" t="str">
        <f t="shared" si="2"/>
        <v>VALID</v>
      </c>
      <c r="N110" s="8"/>
    </row>
    <row r="111">
      <c r="A111" s="4">
        <v>1110.0</v>
      </c>
      <c r="B111" s="5">
        <v>44972.0</v>
      </c>
      <c r="C111" s="4" t="s">
        <v>21</v>
      </c>
      <c r="D111" s="4" t="s">
        <v>33</v>
      </c>
      <c r="E111" s="4" t="s">
        <v>23</v>
      </c>
      <c r="F111" s="4" t="s">
        <v>37</v>
      </c>
      <c r="G111" s="4" t="s">
        <v>15</v>
      </c>
      <c r="H111" s="6">
        <v>3921.0</v>
      </c>
      <c r="I111" s="7">
        <v>1.0</v>
      </c>
      <c r="J111" s="8">
        <v>0.09</v>
      </c>
      <c r="K111" s="6">
        <v>-151.0</v>
      </c>
      <c r="L111" s="8">
        <f t="shared" si="1"/>
        <v>-0.03851058403</v>
      </c>
      <c r="M111" s="4" t="str">
        <f t="shared" si="2"/>
        <v>INVALID</v>
      </c>
      <c r="N111" s="8"/>
    </row>
    <row r="112">
      <c r="A112" s="4">
        <v>1111.0</v>
      </c>
      <c r="B112" s="5">
        <v>44984.0</v>
      </c>
      <c r="C112" s="4" t="s">
        <v>25</v>
      </c>
      <c r="D112" s="4" t="s">
        <v>26</v>
      </c>
      <c r="E112" s="4" t="s">
        <v>13</v>
      </c>
      <c r="F112" s="4" t="s">
        <v>34</v>
      </c>
      <c r="G112" s="4" t="s">
        <v>28</v>
      </c>
      <c r="H112" s="6">
        <v>22653.0</v>
      </c>
      <c r="I112" s="7">
        <v>1.0</v>
      </c>
      <c r="J112" s="8">
        <v>0.07</v>
      </c>
      <c r="K112" s="6">
        <v>3437.0</v>
      </c>
      <c r="L112" s="8">
        <f t="shared" si="1"/>
        <v>0.1517238335</v>
      </c>
      <c r="M112" s="4" t="str">
        <f t="shared" si="2"/>
        <v>VALID</v>
      </c>
      <c r="N112" s="8"/>
    </row>
    <row r="113">
      <c r="A113" s="4">
        <v>1112.0</v>
      </c>
      <c r="B113" s="5">
        <v>44969.0</v>
      </c>
      <c r="C113" s="4" t="s">
        <v>11</v>
      </c>
      <c r="D113" s="4" t="s">
        <v>42</v>
      </c>
      <c r="E113" s="4" t="s">
        <v>13</v>
      </c>
      <c r="F113" s="4" t="s">
        <v>43</v>
      </c>
      <c r="G113" s="4" t="s">
        <v>15</v>
      </c>
      <c r="H113" s="6">
        <v>7169.0</v>
      </c>
      <c r="I113" s="7">
        <v>1.0</v>
      </c>
      <c r="J113" s="8">
        <v>0.1</v>
      </c>
      <c r="K113" s="6">
        <v>925.0</v>
      </c>
      <c r="L113" s="8">
        <f t="shared" si="1"/>
        <v>0.1290277584</v>
      </c>
      <c r="M113" s="4" t="str">
        <f t="shared" si="2"/>
        <v>VALID</v>
      </c>
      <c r="N113" s="8"/>
    </row>
    <row r="114">
      <c r="A114" s="4">
        <v>1113.0</v>
      </c>
      <c r="B114" s="5">
        <v>44942.0</v>
      </c>
      <c r="C114" s="4" t="s">
        <v>16</v>
      </c>
      <c r="D114" s="4" t="s">
        <v>44</v>
      </c>
      <c r="E114" s="4" t="s">
        <v>18</v>
      </c>
      <c r="F114" s="4" t="s">
        <v>45</v>
      </c>
      <c r="G114" s="4" t="s">
        <v>20</v>
      </c>
      <c r="H114" s="6">
        <v>4998.0</v>
      </c>
      <c r="I114" s="7">
        <v>1.0</v>
      </c>
      <c r="J114" s="8">
        <v>0.15</v>
      </c>
      <c r="K114" s="6">
        <v>796.0</v>
      </c>
      <c r="L114" s="8">
        <f t="shared" si="1"/>
        <v>0.1592637055</v>
      </c>
      <c r="M114" s="4" t="str">
        <f t="shared" si="2"/>
        <v>VALID</v>
      </c>
      <c r="N114" s="8"/>
    </row>
    <row r="115">
      <c r="A115" s="4">
        <v>1114.0</v>
      </c>
      <c r="B115" s="5">
        <v>45014.0</v>
      </c>
      <c r="C115" s="4" t="s">
        <v>21</v>
      </c>
      <c r="D115" s="4" t="s">
        <v>40</v>
      </c>
      <c r="E115" s="4" t="s">
        <v>23</v>
      </c>
      <c r="F115" s="4" t="s">
        <v>46</v>
      </c>
      <c r="G115" s="4" t="s">
        <v>15</v>
      </c>
      <c r="H115" s="6">
        <v>3494.0</v>
      </c>
      <c r="I115" s="7">
        <v>2.0</v>
      </c>
      <c r="J115" s="8">
        <v>0.08</v>
      </c>
      <c r="K115" s="6">
        <v>189.0</v>
      </c>
      <c r="L115" s="8">
        <f t="shared" si="1"/>
        <v>0.05409273039</v>
      </c>
      <c r="M115" s="4" t="str">
        <f t="shared" si="2"/>
        <v>VALID</v>
      </c>
      <c r="N115" s="8"/>
    </row>
    <row r="116">
      <c r="A116" s="4">
        <v>1115.0</v>
      </c>
      <c r="B116" s="5">
        <v>44942.0</v>
      </c>
      <c r="C116" s="4" t="s">
        <v>25</v>
      </c>
      <c r="D116" s="4" t="s">
        <v>47</v>
      </c>
      <c r="E116" s="4" t="s">
        <v>13</v>
      </c>
      <c r="F116" s="4" t="s">
        <v>48</v>
      </c>
      <c r="G116" s="4" t="s">
        <v>28</v>
      </c>
      <c r="H116" s="6">
        <v>28659.0</v>
      </c>
      <c r="I116" s="7">
        <v>1.0</v>
      </c>
      <c r="J116" s="8">
        <v>0.12</v>
      </c>
      <c r="K116" s="6">
        <v>3765.0</v>
      </c>
      <c r="L116" s="8">
        <f t="shared" si="1"/>
        <v>0.1313723438</v>
      </c>
      <c r="M116" s="4" t="str">
        <f t="shared" si="2"/>
        <v>VALID</v>
      </c>
      <c r="N116" s="8"/>
    </row>
    <row r="117">
      <c r="A117" s="4">
        <v>1116.0</v>
      </c>
      <c r="B117" s="5">
        <v>44985.0</v>
      </c>
      <c r="C117" s="4" t="s">
        <v>11</v>
      </c>
      <c r="D117" s="4" t="s">
        <v>41</v>
      </c>
      <c r="E117" s="4" t="s">
        <v>18</v>
      </c>
      <c r="F117" s="4" t="s">
        <v>49</v>
      </c>
      <c r="G117" s="4" t="s">
        <v>15</v>
      </c>
      <c r="H117" s="6">
        <v>3449.0</v>
      </c>
      <c r="I117" s="7">
        <v>1.0</v>
      </c>
      <c r="J117" s="8">
        <v>0.18</v>
      </c>
      <c r="K117" s="6">
        <v>240.0</v>
      </c>
      <c r="L117" s="8">
        <f t="shared" si="1"/>
        <v>0.06958538707</v>
      </c>
      <c r="M117" s="4" t="str">
        <f t="shared" si="2"/>
        <v>VALID</v>
      </c>
      <c r="N117" s="8"/>
    </row>
    <row r="118">
      <c r="A118" s="4">
        <v>1117.0</v>
      </c>
      <c r="B118" s="5">
        <v>44971.0</v>
      </c>
      <c r="C118" s="4" t="s">
        <v>16</v>
      </c>
      <c r="D118" s="4" t="s">
        <v>17</v>
      </c>
      <c r="E118" s="4" t="s">
        <v>23</v>
      </c>
      <c r="F118" s="4" t="s">
        <v>50</v>
      </c>
      <c r="G118" s="4" t="s">
        <v>20</v>
      </c>
      <c r="H118" s="6">
        <v>16881.0</v>
      </c>
      <c r="I118" s="7">
        <v>2.0</v>
      </c>
      <c r="J118" s="8">
        <v>0.1</v>
      </c>
      <c r="K118" s="6">
        <v>2604.0</v>
      </c>
      <c r="L118" s="8">
        <f t="shared" si="1"/>
        <v>0.1542562644</v>
      </c>
      <c r="M118" s="4" t="str">
        <f t="shared" si="2"/>
        <v>VALID</v>
      </c>
      <c r="N118" s="8"/>
    </row>
    <row r="119">
      <c r="A119" s="4">
        <v>1118.0</v>
      </c>
      <c r="B119" s="5">
        <v>44960.0</v>
      </c>
      <c r="C119" s="4" t="s">
        <v>21</v>
      </c>
      <c r="D119" s="4" t="s">
        <v>33</v>
      </c>
      <c r="E119" s="4" t="s">
        <v>13</v>
      </c>
      <c r="F119" s="4" t="s">
        <v>51</v>
      </c>
      <c r="G119" s="4" t="s">
        <v>15</v>
      </c>
      <c r="H119" s="6">
        <v>5885.0</v>
      </c>
      <c r="I119" s="7">
        <v>1.0</v>
      </c>
      <c r="J119" s="8">
        <v>0.07</v>
      </c>
      <c r="K119" s="6">
        <v>368.0</v>
      </c>
      <c r="L119" s="8">
        <f t="shared" si="1"/>
        <v>0.06253186066</v>
      </c>
      <c r="M119" s="4" t="str">
        <f t="shared" si="2"/>
        <v>VALID</v>
      </c>
      <c r="N119" s="8"/>
    </row>
    <row r="120">
      <c r="A120" s="4">
        <v>1119.0</v>
      </c>
      <c r="B120" s="5">
        <v>44973.0</v>
      </c>
      <c r="C120" s="4" t="s">
        <v>25</v>
      </c>
      <c r="D120" s="4" t="s">
        <v>35</v>
      </c>
      <c r="E120" s="4" t="s">
        <v>18</v>
      </c>
      <c r="F120" s="4" t="s">
        <v>52</v>
      </c>
      <c r="G120" s="4" t="s">
        <v>28</v>
      </c>
      <c r="H120" s="6">
        <v>-769.0</v>
      </c>
      <c r="I120" s="7">
        <v>1.0</v>
      </c>
      <c r="J120" s="8">
        <v>0.14</v>
      </c>
      <c r="K120" s="6">
        <v>845.0</v>
      </c>
      <c r="L120" s="8">
        <f t="shared" si="1"/>
        <v>-1.098829649</v>
      </c>
      <c r="M120" s="4" t="str">
        <f t="shared" si="2"/>
        <v>INVALID</v>
      </c>
      <c r="N120" s="8"/>
    </row>
    <row r="121">
      <c r="A121" s="4">
        <v>1120.0</v>
      </c>
      <c r="B121" s="5">
        <v>44972.0</v>
      </c>
      <c r="C121" s="4" t="s">
        <v>11</v>
      </c>
      <c r="D121" s="4" t="s">
        <v>12</v>
      </c>
      <c r="E121" s="4" t="s">
        <v>23</v>
      </c>
      <c r="F121" s="4" t="s">
        <v>39</v>
      </c>
      <c r="G121" s="4" t="s">
        <v>15</v>
      </c>
      <c r="H121" s="6">
        <v>23413.0</v>
      </c>
      <c r="I121" s="7">
        <v>2.0</v>
      </c>
      <c r="J121" s="8">
        <v>0.05</v>
      </c>
      <c r="K121" s="6">
        <v>3914.0</v>
      </c>
      <c r="L121" s="8">
        <f t="shared" si="1"/>
        <v>0.1671720839</v>
      </c>
      <c r="M121" s="4" t="str">
        <f t="shared" si="2"/>
        <v>VALID</v>
      </c>
      <c r="N121" s="8"/>
    </row>
    <row r="122">
      <c r="A122" s="4">
        <v>1121.0</v>
      </c>
      <c r="B122" s="5">
        <v>44997.0</v>
      </c>
      <c r="C122" s="4" t="s">
        <v>16</v>
      </c>
      <c r="D122" s="4" t="s">
        <v>31</v>
      </c>
      <c r="E122" s="4" t="s">
        <v>13</v>
      </c>
      <c r="F122" s="4" t="s">
        <v>14</v>
      </c>
      <c r="G122" s="4" t="s">
        <v>20</v>
      </c>
      <c r="H122" s="6">
        <v>9562.0</v>
      </c>
      <c r="I122" s="7">
        <v>1.0</v>
      </c>
      <c r="J122" s="8">
        <v>0.09</v>
      </c>
      <c r="K122" s="6">
        <v>1090.0</v>
      </c>
      <c r="L122" s="8">
        <f t="shared" si="1"/>
        <v>0.1139928885</v>
      </c>
      <c r="M122" s="4" t="str">
        <f t="shared" si="2"/>
        <v>VALID</v>
      </c>
      <c r="N122" s="8"/>
    </row>
    <row r="123">
      <c r="A123" s="4">
        <v>1122.0</v>
      </c>
      <c r="B123" s="5">
        <v>44934.0</v>
      </c>
      <c r="C123" s="4" t="s">
        <v>21</v>
      </c>
      <c r="D123" s="4" t="s">
        <v>22</v>
      </c>
      <c r="E123" s="4" t="s">
        <v>18</v>
      </c>
      <c r="F123" s="4" t="s">
        <v>19</v>
      </c>
      <c r="G123" s="4" t="s">
        <v>15</v>
      </c>
      <c r="H123" s="6">
        <v>4695.0</v>
      </c>
      <c r="I123" s="7">
        <v>1.0</v>
      </c>
      <c r="J123" s="8">
        <v>0.11</v>
      </c>
      <c r="K123" s="6">
        <v>889.0</v>
      </c>
      <c r="L123" s="8">
        <f t="shared" si="1"/>
        <v>0.1893503727</v>
      </c>
      <c r="M123" s="4" t="str">
        <f t="shared" si="2"/>
        <v>VALID</v>
      </c>
      <c r="N123" s="8"/>
    </row>
    <row r="124">
      <c r="A124" s="4">
        <v>1123.0</v>
      </c>
      <c r="B124" s="5">
        <v>44950.0</v>
      </c>
      <c r="C124" s="4" t="s">
        <v>25</v>
      </c>
      <c r="D124" s="4" t="s">
        <v>26</v>
      </c>
      <c r="E124" s="4" t="s">
        <v>23</v>
      </c>
      <c r="F124" s="4" t="s">
        <v>32</v>
      </c>
      <c r="G124" s="4" t="s">
        <v>28</v>
      </c>
      <c r="H124" s="6">
        <v>20490.0</v>
      </c>
      <c r="I124" s="7">
        <v>2.0</v>
      </c>
      <c r="J124" s="8">
        <v>0.08</v>
      </c>
      <c r="K124" s="6">
        <v>3409.0</v>
      </c>
      <c r="L124" s="8">
        <f t="shared" si="1"/>
        <v>0.1663738409</v>
      </c>
      <c r="M124" s="4" t="str">
        <f t="shared" si="2"/>
        <v>VALID</v>
      </c>
      <c r="N124" s="8"/>
    </row>
    <row r="125">
      <c r="A125" s="4">
        <v>1124.0</v>
      </c>
      <c r="B125" s="5">
        <v>44965.0</v>
      </c>
      <c r="C125" s="4" t="s">
        <v>11</v>
      </c>
      <c r="D125" s="4" t="s">
        <v>29</v>
      </c>
      <c r="E125" s="4" t="s">
        <v>13</v>
      </c>
      <c r="F125" s="4" t="s">
        <v>27</v>
      </c>
      <c r="G125" s="4" t="s">
        <v>15</v>
      </c>
      <c r="H125" s="6">
        <v>12926.0</v>
      </c>
      <c r="I125" s="7">
        <v>1.0</v>
      </c>
      <c r="J125" s="8">
        <v>0.06</v>
      </c>
      <c r="K125" s="6">
        <v>1816.0</v>
      </c>
      <c r="L125" s="8">
        <f t="shared" si="1"/>
        <v>0.1404920316</v>
      </c>
      <c r="M125" s="4" t="str">
        <f t="shared" si="2"/>
        <v>VALID</v>
      </c>
      <c r="N125" s="8"/>
    </row>
    <row r="126">
      <c r="A126" s="4">
        <v>1125.0</v>
      </c>
      <c r="B126" s="5">
        <v>44973.0</v>
      </c>
      <c r="C126" s="4" t="s">
        <v>16</v>
      </c>
      <c r="D126" s="4" t="s">
        <v>17</v>
      </c>
      <c r="E126" s="4" t="s">
        <v>18</v>
      </c>
      <c r="F126" s="4" t="s">
        <v>36</v>
      </c>
      <c r="G126" s="4" t="s">
        <v>20</v>
      </c>
      <c r="H126" s="6">
        <v>485.0</v>
      </c>
      <c r="I126" s="7">
        <v>1.0</v>
      </c>
      <c r="J126" s="8">
        <v>0.2</v>
      </c>
      <c r="K126" s="6">
        <v>681.0</v>
      </c>
      <c r="L126" s="8">
        <f t="shared" si="1"/>
        <v>1.404123711</v>
      </c>
      <c r="M126" s="4" t="str">
        <f t="shared" si="2"/>
        <v>VALID</v>
      </c>
      <c r="N126" s="8"/>
    </row>
    <row r="127">
      <c r="A127" s="4">
        <v>1126.0</v>
      </c>
      <c r="B127" s="5">
        <v>44987.0</v>
      </c>
      <c r="C127" s="4" t="s">
        <v>21</v>
      </c>
      <c r="D127" s="4" t="s">
        <v>40</v>
      </c>
      <c r="E127" s="4" t="s">
        <v>23</v>
      </c>
      <c r="F127" s="4" t="s">
        <v>37</v>
      </c>
      <c r="G127" s="4" t="s">
        <v>15</v>
      </c>
      <c r="H127" s="6">
        <v>13303.0</v>
      </c>
      <c r="I127" s="7">
        <v>1.0</v>
      </c>
      <c r="J127" s="8">
        <v>0.1</v>
      </c>
      <c r="K127" s="6">
        <v>2282.0</v>
      </c>
      <c r="L127" s="8">
        <f t="shared" si="1"/>
        <v>0.1715402541</v>
      </c>
      <c r="M127" s="4" t="str">
        <f t="shared" si="2"/>
        <v>VALID</v>
      </c>
      <c r="N127" s="8"/>
    </row>
    <row r="128">
      <c r="A128" s="4">
        <v>1127.0</v>
      </c>
      <c r="B128" s="5">
        <v>44943.0</v>
      </c>
      <c r="C128" s="4" t="s">
        <v>25</v>
      </c>
      <c r="D128" s="4" t="s">
        <v>53</v>
      </c>
      <c r="E128" s="4" t="s">
        <v>13</v>
      </c>
      <c r="F128" s="4" t="s">
        <v>34</v>
      </c>
      <c r="G128" s="4" t="s">
        <v>28</v>
      </c>
      <c r="H128" s="6">
        <v>30257.0</v>
      </c>
      <c r="I128" s="7">
        <v>1.0</v>
      </c>
      <c r="J128" s="8">
        <v>0.07</v>
      </c>
      <c r="K128" s="6">
        <v>3337.0</v>
      </c>
      <c r="L128" s="8">
        <f t="shared" si="1"/>
        <v>0.1102885283</v>
      </c>
      <c r="M128" s="4" t="str">
        <f t="shared" si="2"/>
        <v>VALID</v>
      </c>
      <c r="N128" s="8"/>
    </row>
    <row r="129">
      <c r="A129" s="4">
        <v>1128.0</v>
      </c>
      <c r="B129" s="5">
        <v>44967.0</v>
      </c>
      <c r="C129" s="4" t="s">
        <v>11</v>
      </c>
      <c r="D129" s="4" t="s">
        <v>42</v>
      </c>
      <c r="E129" s="4" t="s">
        <v>18</v>
      </c>
      <c r="F129" s="4" t="s">
        <v>30</v>
      </c>
      <c r="G129" s="4" t="s">
        <v>15</v>
      </c>
      <c r="H129" s="6">
        <v>2260.0</v>
      </c>
      <c r="I129" s="7">
        <v>1.0</v>
      </c>
      <c r="J129" s="8">
        <v>0.13</v>
      </c>
      <c r="K129" s="6">
        <v>1553.0</v>
      </c>
      <c r="L129" s="8">
        <f t="shared" si="1"/>
        <v>0.6871681416</v>
      </c>
      <c r="M129" s="4" t="str">
        <f t="shared" si="2"/>
        <v>VALID</v>
      </c>
      <c r="N129" s="8"/>
    </row>
    <row r="130">
      <c r="A130" s="4">
        <v>1129.0</v>
      </c>
      <c r="B130" s="5">
        <v>45008.0</v>
      </c>
      <c r="C130" s="4" t="s">
        <v>16</v>
      </c>
      <c r="D130" s="4" t="s">
        <v>44</v>
      </c>
      <c r="E130" s="4" t="s">
        <v>23</v>
      </c>
      <c r="F130" s="4" t="s">
        <v>24</v>
      </c>
      <c r="G130" s="4" t="s">
        <v>20</v>
      </c>
      <c r="H130" s="6">
        <v>58426.0</v>
      </c>
      <c r="I130" s="7">
        <v>3.0</v>
      </c>
      <c r="J130" s="8">
        <v>0.05</v>
      </c>
      <c r="K130" s="6">
        <v>7461.0</v>
      </c>
      <c r="L130" s="8">
        <f t="shared" si="1"/>
        <v>0.1276999966</v>
      </c>
      <c r="M130" s="4" t="str">
        <f t="shared" si="2"/>
        <v>VALID</v>
      </c>
      <c r="N130" s="8"/>
    </row>
    <row r="131">
      <c r="A131" s="4">
        <v>1130.0</v>
      </c>
      <c r="B131" s="5">
        <v>44979.0</v>
      </c>
      <c r="C131" s="4" t="s">
        <v>21</v>
      </c>
      <c r="D131" s="4" t="s">
        <v>33</v>
      </c>
      <c r="E131" s="4" t="s">
        <v>13</v>
      </c>
      <c r="F131" s="4" t="s">
        <v>38</v>
      </c>
      <c r="G131" s="4" t="s">
        <v>15</v>
      </c>
      <c r="H131" s="6">
        <v>8353.0</v>
      </c>
      <c r="I131" s="7">
        <v>2.0</v>
      </c>
      <c r="J131" s="8">
        <v>0.08</v>
      </c>
      <c r="K131" s="6">
        <v>871.0</v>
      </c>
      <c r="L131" s="8">
        <f t="shared" si="1"/>
        <v>0.1042739136</v>
      </c>
      <c r="M131" s="4" t="str">
        <f t="shared" si="2"/>
        <v>VALID</v>
      </c>
      <c r="N131" s="8"/>
    </row>
    <row r="132">
      <c r="A132" s="4">
        <v>1131.0</v>
      </c>
      <c r="B132" s="5">
        <v>44950.0</v>
      </c>
      <c r="C132" s="4" t="s">
        <v>25</v>
      </c>
      <c r="D132" s="4" t="s">
        <v>26</v>
      </c>
      <c r="E132" s="4" t="s">
        <v>18</v>
      </c>
      <c r="F132" s="4" t="s">
        <v>19</v>
      </c>
      <c r="G132" s="4" t="s">
        <v>28</v>
      </c>
      <c r="H132" s="6">
        <v>-375.0</v>
      </c>
      <c r="I132" s="7">
        <v>1.0</v>
      </c>
      <c r="J132" s="8">
        <v>0.1</v>
      </c>
      <c r="K132" s="6">
        <v>-140.0</v>
      </c>
      <c r="L132" s="8">
        <f t="shared" si="1"/>
        <v>0.3733333333</v>
      </c>
      <c r="M132" s="4" t="str">
        <f t="shared" si="2"/>
        <v>INVALID</v>
      </c>
      <c r="N132" s="8"/>
    </row>
    <row r="133">
      <c r="A133" s="4">
        <v>1132.0</v>
      </c>
      <c r="B133" s="5">
        <v>45016.0</v>
      </c>
      <c r="C133" s="4" t="s">
        <v>11</v>
      </c>
      <c r="D133" s="4" t="s">
        <v>12</v>
      </c>
      <c r="E133" s="4" t="s">
        <v>23</v>
      </c>
      <c r="F133" s="4" t="s">
        <v>46</v>
      </c>
      <c r="G133" s="4" t="s">
        <v>15</v>
      </c>
      <c r="H133" s="6">
        <v>20470.0</v>
      </c>
      <c r="I133" s="7">
        <v>2.0</v>
      </c>
      <c r="J133" s="8">
        <v>0.07</v>
      </c>
      <c r="K133" s="6">
        <v>2589.0</v>
      </c>
      <c r="L133" s="8">
        <f t="shared" si="1"/>
        <v>0.1264777723</v>
      </c>
      <c r="M133" s="4" t="str">
        <f t="shared" si="2"/>
        <v>VALID</v>
      </c>
      <c r="N133" s="8"/>
    </row>
    <row r="134">
      <c r="A134" s="4">
        <v>1133.0</v>
      </c>
      <c r="B134" s="5">
        <v>44938.0</v>
      </c>
      <c r="C134" s="4" t="s">
        <v>16</v>
      </c>
      <c r="D134" s="4" t="s">
        <v>17</v>
      </c>
      <c r="E134" s="4" t="s">
        <v>13</v>
      </c>
      <c r="F134" s="4" t="s">
        <v>43</v>
      </c>
      <c r="G134" s="4" t="s">
        <v>20</v>
      </c>
      <c r="H134" s="6">
        <v>9806.0</v>
      </c>
      <c r="I134" s="7">
        <v>1.0</v>
      </c>
      <c r="J134" s="8">
        <v>0.09</v>
      </c>
      <c r="K134" s="6">
        <v>901.0</v>
      </c>
      <c r="L134" s="8">
        <f t="shared" si="1"/>
        <v>0.09188252091</v>
      </c>
      <c r="M134" s="4" t="str">
        <f t="shared" si="2"/>
        <v>VALID</v>
      </c>
      <c r="N134" s="8"/>
    </row>
    <row r="135">
      <c r="A135" s="4">
        <v>1134.0</v>
      </c>
      <c r="B135" s="5">
        <v>45006.0</v>
      </c>
      <c r="C135" s="4" t="s">
        <v>21</v>
      </c>
      <c r="D135" s="4" t="s">
        <v>22</v>
      </c>
      <c r="E135" s="4" t="s">
        <v>18</v>
      </c>
      <c r="F135" s="4" t="s">
        <v>45</v>
      </c>
      <c r="G135" s="4" t="s">
        <v>15</v>
      </c>
      <c r="H135" s="6">
        <v>3589.0</v>
      </c>
      <c r="I135" s="7">
        <v>1.0</v>
      </c>
      <c r="J135" s="8">
        <v>0.15</v>
      </c>
      <c r="K135" s="6">
        <v>-46.0</v>
      </c>
      <c r="L135" s="8">
        <f t="shared" si="1"/>
        <v>-0.01281694065</v>
      </c>
      <c r="M135" s="4" t="str">
        <f t="shared" si="2"/>
        <v>INVALID</v>
      </c>
      <c r="N135" s="8"/>
    </row>
    <row r="136">
      <c r="A136" s="4">
        <v>1135.0</v>
      </c>
      <c r="B136" s="5">
        <v>44989.0</v>
      </c>
      <c r="C136" s="4" t="s">
        <v>25</v>
      </c>
      <c r="D136" s="4" t="s">
        <v>47</v>
      </c>
      <c r="E136" s="4" t="s">
        <v>23</v>
      </c>
      <c r="F136" s="4" t="s">
        <v>50</v>
      </c>
      <c r="G136" s="4" t="s">
        <v>28</v>
      </c>
      <c r="H136" s="6">
        <v>5106.0</v>
      </c>
      <c r="I136" s="7">
        <v>2.0</v>
      </c>
      <c r="J136" s="8">
        <v>0.1</v>
      </c>
      <c r="K136" s="6">
        <v>152.0</v>
      </c>
      <c r="L136" s="8">
        <f t="shared" si="1"/>
        <v>0.02976889933</v>
      </c>
      <c r="M136" s="4" t="str">
        <f t="shared" si="2"/>
        <v>VALID</v>
      </c>
      <c r="N136" s="8"/>
    </row>
    <row r="137">
      <c r="A137" s="4">
        <v>1136.0</v>
      </c>
      <c r="B137" s="5">
        <v>44935.0</v>
      </c>
      <c r="C137" s="4" t="s">
        <v>11</v>
      </c>
      <c r="D137" s="4" t="s">
        <v>29</v>
      </c>
      <c r="E137" s="4" t="s">
        <v>13</v>
      </c>
      <c r="F137" s="4" t="s">
        <v>48</v>
      </c>
      <c r="G137" s="4" t="s">
        <v>15</v>
      </c>
      <c r="H137" s="6">
        <v>28133.0</v>
      </c>
      <c r="I137" s="7">
        <v>1.0</v>
      </c>
      <c r="J137" s="8">
        <v>0.11</v>
      </c>
      <c r="K137" s="6">
        <v>3506.0</v>
      </c>
      <c r="L137" s="8">
        <f t="shared" si="1"/>
        <v>0.1246223296</v>
      </c>
      <c r="M137" s="4" t="str">
        <f t="shared" si="2"/>
        <v>VALID</v>
      </c>
      <c r="N137" s="8"/>
    </row>
    <row r="138">
      <c r="A138" s="4">
        <v>1137.0</v>
      </c>
      <c r="B138" s="5">
        <v>44957.0</v>
      </c>
      <c r="C138" s="4" t="s">
        <v>16</v>
      </c>
      <c r="D138" s="4" t="s">
        <v>31</v>
      </c>
      <c r="E138" s="4" t="s">
        <v>18</v>
      </c>
      <c r="F138" s="4" t="s">
        <v>52</v>
      </c>
      <c r="G138" s="4" t="s">
        <v>20</v>
      </c>
      <c r="H138" s="6">
        <v>766.0</v>
      </c>
      <c r="I138" s="7">
        <v>1.0</v>
      </c>
      <c r="J138" s="8">
        <v>0.14</v>
      </c>
      <c r="K138" s="6">
        <v>963.0</v>
      </c>
      <c r="L138" s="8">
        <f t="shared" si="1"/>
        <v>1.257180157</v>
      </c>
      <c r="M138" s="4" t="str">
        <f t="shared" si="2"/>
        <v>VALID</v>
      </c>
      <c r="N138" s="8"/>
    </row>
    <row r="139">
      <c r="A139" s="4">
        <v>1138.0</v>
      </c>
      <c r="B139" s="5">
        <v>44961.0</v>
      </c>
      <c r="C139" s="4" t="s">
        <v>21</v>
      </c>
      <c r="D139" s="4" t="s">
        <v>40</v>
      </c>
      <c r="E139" s="4" t="s">
        <v>23</v>
      </c>
      <c r="F139" s="4" t="s">
        <v>39</v>
      </c>
      <c r="G139" s="4" t="s">
        <v>15</v>
      </c>
      <c r="H139" s="6">
        <v>15177.0</v>
      </c>
      <c r="I139" s="7">
        <v>2.0</v>
      </c>
      <c r="J139" s="8">
        <v>0.05</v>
      </c>
      <c r="K139" s="6">
        <v>2633.0</v>
      </c>
      <c r="L139" s="8">
        <f t="shared" si="1"/>
        <v>0.1734861962</v>
      </c>
      <c r="M139" s="4" t="str">
        <f t="shared" si="2"/>
        <v>VALID</v>
      </c>
      <c r="N139" s="8"/>
    </row>
    <row r="140">
      <c r="A140" s="4">
        <v>1139.0</v>
      </c>
      <c r="B140" s="5">
        <v>45008.0</v>
      </c>
      <c r="C140" s="4" t="s">
        <v>25</v>
      </c>
      <c r="D140" s="4" t="s">
        <v>35</v>
      </c>
      <c r="E140" s="4" t="s">
        <v>13</v>
      </c>
      <c r="F140" s="4" t="s">
        <v>51</v>
      </c>
      <c r="G140" s="4" t="s">
        <v>28</v>
      </c>
      <c r="H140" s="6">
        <v>7817.0</v>
      </c>
      <c r="I140" s="7">
        <v>1.0</v>
      </c>
      <c r="J140" s="8">
        <v>0.08</v>
      </c>
      <c r="K140" s="6">
        <v>788.0</v>
      </c>
      <c r="L140" s="8">
        <f t="shared" si="1"/>
        <v>0.1008059358</v>
      </c>
      <c r="M140" s="4" t="str">
        <f t="shared" si="2"/>
        <v>VALID</v>
      </c>
      <c r="N140" s="8"/>
    </row>
    <row r="141">
      <c r="A141" s="4">
        <v>1140.0</v>
      </c>
      <c r="B141" s="5">
        <v>44994.0</v>
      </c>
      <c r="C141" s="4" t="s">
        <v>11</v>
      </c>
      <c r="D141" s="4" t="s">
        <v>41</v>
      </c>
      <c r="E141" s="4" t="s">
        <v>18</v>
      </c>
      <c r="F141" s="4" t="s">
        <v>49</v>
      </c>
      <c r="G141" s="4" t="s">
        <v>15</v>
      </c>
      <c r="H141" s="6">
        <v>891.0</v>
      </c>
      <c r="I141" s="7">
        <v>1.0</v>
      </c>
      <c r="J141" s="8">
        <v>0.17</v>
      </c>
      <c r="K141" s="6">
        <v>372.0</v>
      </c>
      <c r="L141" s="8">
        <f t="shared" si="1"/>
        <v>0.4175084175</v>
      </c>
      <c r="M141" s="4" t="str">
        <f t="shared" si="2"/>
        <v>VALID</v>
      </c>
      <c r="N141" s="8"/>
    </row>
    <row r="142">
      <c r="A142" s="4">
        <v>1141.0</v>
      </c>
      <c r="B142" s="5">
        <v>44938.0</v>
      </c>
      <c r="C142" s="4" t="s">
        <v>16</v>
      </c>
      <c r="D142" s="4" t="s">
        <v>17</v>
      </c>
      <c r="E142" s="4" t="s">
        <v>23</v>
      </c>
      <c r="F142" s="4" t="s">
        <v>32</v>
      </c>
      <c r="G142" s="4" t="s">
        <v>20</v>
      </c>
      <c r="H142" s="6">
        <v>23233.0</v>
      </c>
      <c r="I142" s="7">
        <v>2.0</v>
      </c>
      <c r="J142" s="8">
        <v>0.1</v>
      </c>
      <c r="K142" s="6">
        <v>3044.0</v>
      </c>
      <c r="L142" s="8">
        <f t="shared" si="1"/>
        <v>0.1310205311</v>
      </c>
      <c r="M142" s="4" t="str">
        <f t="shared" si="2"/>
        <v>VALID</v>
      </c>
      <c r="N142" s="8"/>
    </row>
    <row r="143">
      <c r="A143" s="4">
        <v>1142.0</v>
      </c>
      <c r="B143" s="5">
        <v>44990.0</v>
      </c>
      <c r="C143" s="4" t="s">
        <v>21</v>
      </c>
      <c r="D143" s="4" t="s">
        <v>33</v>
      </c>
      <c r="E143" s="4" t="s">
        <v>13</v>
      </c>
      <c r="F143" s="4" t="s">
        <v>27</v>
      </c>
      <c r="G143" s="4" t="s">
        <v>15</v>
      </c>
      <c r="H143" s="6">
        <v>12012.0</v>
      </c>
      <c r="I143" s="7">
        <v>1.0</v>
      </c>
      <c r="J143" s="8">
        <v>0.06</v>
      </c>
      <c r="K143" s="6">
        <v>1738.0</v>
      </c>
      <c r="L143" s="8">
        <f t="shared" si="1"/>
        <v>0.1446886447</v>
      </c>
      <c r="M143" s="4" t="str">
        <f t="shared" si="2"/>
        <v>VALID</v>
      </c>
      <c r="N143" s="8"/>
    </row>
    <row r="144">
      <c r="A144" s="4">
        <v>1143.0</v>
      </c>
      <c r="B144" s="5">
        <v>44956.0</v>
      </c>
      <c r="C144" s="4" t="s">
        <v>25</v>
      </c>
      <c r="D144" s="4" t="s">
        <v>53</v>
      </c>
      <c r="E144" s="4" t="s">
        <v>18</v>
      </c>
      <c r="F144" s="4" t="s">
        <v>36</v>
      </c>
      <c r="G144" s="4" t="s">
        <v>28</v>
      </c>
      <c r="H144" s="6">
        <v>22775.0</v>
      </c>
      <c r="I144" s="7">
        <v>1.0</v>
      </c>
      <c r="J144" s="8">
        <v>0.18</v>
      </c>
      <c r="K144" s="6">
        <v>3697.0</v>
      </c>
      <c r="L144" s="8">
        <f t="shared" si="1"/>
        <v>0.1623271131</v>
      </c>
      <c r="M144" s="4" t="str">
        <f t="shared" si="2"/>
        <v>VALID</v>
      </c>
      <c r="N144" s="8"/>
    </row>
    <row r="145">
      <c r="A145" s="4">
        <v>1144.0</v>
      </c>
      <c r="B145" s="5">
        <v>44956.0</v>
      </c>
      <c r="C145" s="4" t="s">
        <v>11</v>
      </c>
      <c r="D145" s="4" t="s">
        <v>12</v>
      </c>
      <c r="E145" s="4" t="s">
        <v>23</v>
      </c>
      <c r="F145" s="4" t="s">
        <v>37</v>
      </c>
      <c r="G145" s="4" t="s">
        <v>15</v>
      </c>
      <c r="H145" s="6">
        <v>3355.0</v>
      </c>
      <c r="I145" s="7">
        <v>1.0</v>
      </c>
      <c r="J145" s="8">
        <v>0.09</v>
      </c>
      <c r="K145" s="6">
        <v>516.0</v>
      </c>
      <c r="L145" s="8">
        <f t="shared" si="1"/>
        <v>0.1538002981</v>
      </c>
      <c r="M145" s="4" t="str">
        <f t="shared" si="2"/>
        <v>VALID</v>
      </c>
      <c r="N145" s="8"/>
    </row>
    <row r="146">
      <c r="A146" s="4">
        <v>1145.0</v>
      </c>
      <c r="B146" s="5">
        <v>44962.0</v>
      </c>
      <c r="C146" s="4" t="s">
        <v>16</v>
      </c>
      <c r="D146" s="4" t="s">
        <v>44</v>
      </c>
      <c r="E146" s="4" t="s">
        <v>13</v>
      </c>
      <c r="F146" s="4" t="s">
        <v>14</v>
      </c>
      <c r="G146" s="4" t="s">
        <v>20</v>
      </c>
      <c r="H146" s="6">
        <v>2423.0</v>
      </c>
      <c r="I146" s="7">
        <v>1.0</v>
      </c>
      <c r="J146" s="8">
        <v>0.08</v>
      </c>
      <c r="K146" s="6">
        <v>599.0</v>
      </c>
      <c r="L146" s="8">
        <f t="shared" si="1"/>
        <v>0.2472141973</v>
      </c>
      <c r="M146" s="4" t="str">
        <f t="shared" si="2"/>
        <v>VALID</v>
      </c>
      <c r="N146" s="8"/>
    </row>
    <row r="147">
      <c r="A147" s="4">
        <v>1146.0</v>
      </c>
      <c r="B147" s="5">
        <v>45002.0</v>
      </c>
      <c r="C147" s="4" t="s">
        <v>21</v>
      </c>
      <c r="D147" s="4" t="s">
        <v>22</v>
      </c>
      <c r="E147" s="4" t="s">
        <v>18</v>
      </c>
      <c r="F147" s="4" t="s">
        <v>19</v>
      </c>
      <c r="G147" s="4" t="s">
        <v>15</v>
      </c>
      <c r="H147" s="6">
        <v>51081.0</v>
      </c>
      <c r="I147" s="7">
        <v>1.0</v>
      </c>
      <c r="J147" s="8">
        <v>0.1</v>
      </c>
      <c r="K147" s="6">
        <v>6612.0</v>
      </c>
      <c r="L147" s="8">
        <f t="shared" si="1"/>
        <v>0.1294414753</v>
      </c>
      <c r="M147" s="4" t="str">
        <f t="shared" si="2"/>
        <v>VALID</v>
      </c>
      <c r="N147" s="8"/>
    </row>
    <row r="148">
      <c r="A148" s="4">
        <v>1147.0</v>
      </c>
      <c r="B148" s="5">
        <v>44952.0</v>
      </c>
      <c r="C148" s="4" t="s">
        <v>25</v>
      </c>
      <c r="D148" s="4" t="s">
        <v>26</v>
      </c>
      <c r="E148" s="4" t="s">
        <v>23</v>
      </c>
      <c r="F148" s="4" t="s">
        <v>24</v>
      </c>
      <c r="G148" s="4" t="s">
        <v>28</v>
      </c>
      <c r="H148" s="6">
        <v>10466.0</v>
      </c>
      <c r="I148" s="7">
        <v>3.0</v>
      </c>
      <c r="J148" s="8">
        <v>0.05</v>
      </c>
      <c r="K148" s="6">
        <v>579.0</v>
      </c>
      <c r="L148" s="8">
        <f t="shared" si="1"/>
        <v>0.05532199503</v>
      </c>
      <c r="M148" s="4" t="str">
        <f t="shared" si="2"/>
        <v>VALID</v>
      </c>
      <c r="N148" s="8"/>
    </row>
    <row r="149">
      <c r="A149" s="4">
        <v>1148.0</v>
      </c>
      <c r="B149" s="5">
        <v>44935.0</v>
      </c>
      <c r="C149" s="4" t="s">
        <v>11</v>
      </c>
      <c r="D149" s="4" t="s">
        <v>54</v>
      </c>
      <c r="E149" s="4" t="s">
        <v>13</v>
      </c>
      <c r="F149" s="4" t="s">
        <v>43</v>
      </c>
      <c r="G149" s="4" t="s">
        <v>15</v>
      </c>
      <c r="H149" s="6">
        <v>5609.0</v>
      </c>
      <c r="I149" s="7">
        <v>1.0</v>
      </c>
      <c r="J149" s="8">
        <v>0.09</v>
      </c>
      <c r="K149" s="6">
        <v>913.0</v>
      </c>
      <c r="L149" s="8">
        <f t="shared" si="1"/>
        <v>0.162774113</v>
      </c>
      <c r="M149" s="4" t="str">
        <f t="shared" si="2"/>
        <v>VALID</v>
      </c>
      <c r="N149" s="8"/>
    </row>
    <row r="150">
      <c r="A150" s="4">
        <v>1149.0</v>
      </c>
      <c r="B150" s="5">
        <v>44990.0</v>
      </c>
      <c r="C150" s="4" t="s">
        <v>16</v>
      </c>
      <c r="D150" s="4" t="s">
        <v>55</v>
      </c>
      <c r="E150" s="4" t="s">
        <v>18</v>
      </c>
      <c r="F150" s="4" t="s">
        <v>45</v>
      </c>
      <c r="G150" s="4" t="s">
        <v>20</v>
      </c>
      <c r="H150" s="6">
        <v>15815.0</v>
      </c>
      <c r="I150" s="7">
        <v>1.0</v>
      </c>
      <c r="J150" s="8">
        <v>0.16</v>
      </c>
      <c r="K150" s="6">
        <v>2701.0</v>
      </c>
      <c r="L150" s="8">
        <f t="shared" si="1"/>
        <v>0.1707872273</v>
      </c>
      <c r="M150" s="4" t="str">
        <f t="shared" si="2"/>
        <v>VALID</v>
      </c>
      <c r="N150" s="8"/>
    </row>
    <row r="151">
      <c r="A151" s="4">
        <v>1150.0</v>
      </c>
      <c r="B151" s="5">
        <v>44969.0</v>
      </c>
      <c r="C151" s="4" t="s">
        <v>21</v>
      </c>
      <c r="D151" s="4" t="s">
        <v>40</v>
      </c>
      <c r="E151" s="4" t="s">
        <v>23</v>
      </c>
      <c r="F151" s="4" t="s">
        <v>46</v>
      </c>
      <c r="G151" s="4" t="s">
        <v>15</v>
      </c>
      <c r="H151" s="6">
        <v>30234.0</v>
      </c>
      <c r="I151" s="7">
        <v>2.0</v>
      </c>
      <c r="J151" s="8">
        <v>0.07</v>
      </c>
      <c r="K151" s="6">
        <v>3238.0</v>
      </c>
      <c r="L151" s="8">
        <f t="shared" si="1"/>
        <v>0.1070979692</v>
      </c>
      <c r="M151" s="4" t="str">
        <f t="shared" si="2"/>
        <v>VALID</v>
      </c>
      <c r="N151" s="8"/>
    </row>
    <row r="152">
      <c r="A152" s="4">
        <v>1151.0</v>
      </c>
      <c r="B152" s="5">
        <v>44951.0</v>
      </c>
      <c r="C152" s="4" t="s">
        <v>25</v>
      </c>
      <c r="D152" s="4" t="s">
        <v>56</v>
      </c>
      <c r="E152" s="4" t="s">
        <v>13</v>
      </c>
      <c r="F152" s="4" t="s">
        <v>48</v>
      </c>
      <c r="G152" s="4" t="s">
        <v>28</v>
      </c>
      <c r="H152" s="6">
        <v>7150.0</v>
      </c>
      <c r="I152" s="7">
        <v>1.0</v>
      </c>
      <c r="J152" s="8">
        <v>0.11</v>
      </c>
      <c r="K152" s="6">
        <v>139.0</v>
      </c>
      <c r="L152" s="8">
        <f t="shared" si="1"/>
        <v>0.01944055944</v>
      </c>
      <c r="M152" s="4" t="str">
        <f t="shared" si="2"/>
        <v>VALID</v>
      </c>
      <c r="N152" s="8"/>
    </row>
    <row r="153">
      <c r="A153" s="4">
        <v>1152.0</v>
      </c>
      <c r="B153" s="5">
        <v>44998.0</v>
      </c>
      <c r="C153" s="4" t="s">
        <v>11</v>
      </c>
      <c r="D153" s="4" t="s">
        <v>12</v>
      </c>
      <c r="E153" s="4" t="s">
        <v>18</v>
      </c>
      <c r="F153" s="4" t="s">
        <v>49</v>
      </c>
      <c r="G153" s="4" t="s">
        <v>15</v>
      </c>
      <c r="H153" s="6">
        <v>5830.0</v>
      </c>
      <c r="I153" s="7">
        <v>1.0</v>
      </c>
      <c r="J153" s="8">
        <v>0.17</v>
      </c>
      <c r="K153" s="6">
        <v>633.0</v>
      </c>
      <c r="L153" s="8">
        <f t="shared" si="1"/>
        <v>0.1085763293</v>
      </c>
      <c r="M153" s="4" t="str">
        <f t="shared" si="2"/>
        <v>VALID</v>
      </c>
      <c r="N153" s="8"/>
    </row>
    <row r="154">
      <c r="A154" s="4">
        <v>1153.0</v>
      </c>
      <c r="B154" s="5">
        <v>44987.0</v>
      </c>
      <c r="C154" s="4" t="s">
        <v>16</v>
      </c>
      <c r="D154" s="4" t="s">
        <v>17</v>
      </c>
      <c r="E154" s="4" t="s">
        <v>23</v>
      </c>
      <c r="F154" s="4" t="s">
        <v>50</v>
      </c>
      <c r="G154" s="4" t="s">
        <v>20</v>
      </c>
      <c r="H154" s="6">
        <v>10973.0</v>
      </c>
      <c r="I154" s="7">
        <v>2.0</v>
      </c>
      <c r="J154" s="8">
        <v>0.09</v>
      </c>
      <c r="K154" s="6">
        <v>826.0</v>
      </c>
      <c r="L154" s="8">
        <f t="shared" si="1"/>
        <v>0.07527567666</v>
      </c>
      <c r="M154" s="4" t="str">
        <f t="shared" si="2"/>
        <v>VALID</v>
      </c>
      <c r="N154" s="8"/>
    </row>
    <row r="155">
      <c r="A155" s="4">
        <v>1154.0</v>
      </c>
      <c r="B155" s="5">
        <v>45015.0</v>
      </c>
      <c r="C155" s="4" t="s">
        <v>21</v>
      </c>
      <c r="D155" s="4" t="s">
        <v>33</v>
      </c>
      <c r="E155" s="4" t="s">
        <v>13</v>
      </c>
      <c r="F155" s="4" t="s">
        <v>51</v>
      </c>
      <c r="G155" s="4" t="s">
        <v>15</v>
      </c>
      <c r="H155" s="6">
        <v>-2358.0</v>
      </c>
      <c r="I155" s="7">
        <v>1.0</v>
      </c>
      <c r="J155" s="8">
        <v>0.08</v>
      </c>
      <c r="K155" s="6">
        <v>1329.0</v>
      </c>
      <c r="L155" s="8">
        <f t="shared" si="1"/>
        <v>-0.5636132316</v>
      </c>
      <c r="M155" s="4" t="str">
        <f t="shared" si="2"/>
        <v>INVALID</v>
      </c>
      <c r="N155" s="8"/>
    </row>
    <row r="156">
      <c r="A156" s="4">
        <v>1155.0</v>
      </c>
      <c r="B156" s="5">
        <v>44974.0</v>
      </c>
      <c r="C156" s="4" t="s">
        <v>25</v>
      </c>
      <c r="D156" s="4" t="s">
        <v>35</v>
      </c>
      <c r="E156" s="4" t="s">
        <v>18</v>
      </c>
      <c r="F156" s="4" t="s">
        <v>52</v>
      </c>
      <c r="G156" s="4" t="s">
        <v>28</v>
      </c>
      <c r="H156" s="6">
        <v>20168.0</v>
      </c>
      <c r="I156" s="7">
        <v>1.0</v>
      </c>
      <c r="J156" s="8">
        <v>0.13</v>
      </c>
      <c r="K156" s="6">
        <v>2993.0</v>
      </c>
      <c r="L156" s="8">
        <f t="shared" si="1"/>
        <v>0.1484034113</v>
      </c>
      <c r="M156" s="4" t="str">
        <f t="shared" si="2"/>
        <v>VALID</v>
      </c>
      <c r="N156" s="8"/>
    </row>
    <row r="157">
      <c r="A157" s="4">
        <v>1156.0</v>
      </c>
      <c r="B157" s="5">
        <v>44983.0</v>
      </c>
      <c r="C157" s="4" t="s">
        <v>11</v>
      </c>
      <c r="D157" s="4" t="s">
        <v>29</v>
      </c>
      <c r="E157" s="4" t="s">
        <v>23</v>
      </c>
      <c r="F157" s="4" t="s">
        <v>39</v>
      </c>
      <c r="G157" s="4" t="s">
        <v>15</v>
      </c>
      <c r="H157" s="6">
        <v>8651.0</v>
      </c>
      <c r="I157" s="7">
        <v>2.0</v>
      </c>
      <c r="J157" s="8">
        <v>0.05</v>
      </c>
      <c r="K157" s="6">
        <v>718.0</v>
      </c>
      <c r="L157" s="8">
        <f t="shared" si="1"/>
        <v>0.08299618541</v>
      </c>
      <c r="M157" s="4" t="str">
        <f t="shared" si="2"/>
        <v>VALID</v>
      </c>
      <c r="N157" s="8"/>
    </row>
    <row r="158">
      <c r="A158" s="4">
        <v>1157.0</v>
      </c>
      <c r="B158" s="5">
        <v>44931.0</v>
      </c>
      <c r="C158" s="4" t="s">
        <v>16</v>
      </c>
      <c r="D158" s="4" t="s">
        <v>31</v>
      </c>
      <c r="E158" s="4" t="s">
        <v>13</v>
      </c>
      <c r="F158" s="4" t="s">
        <v>14</v>
      </c>
      <c r="G158" s="4" t="s">
        <v>20</v>
      </c>
      <c r="H158" s="6">
        <v>3170.0</v>
      </c>
      <c r="I158" s="7">
        <v>1.0</v>
      </c>
      <c r="J158" s="8">
        <v>0.08</v>
      </c>
      <c r="K158" s="6">
        <v>185.0</v>
      </c>
      <c r="L158" s="8">
        <f t="shared" si="1"/>
        <v>0.05835962145</v>
      </c>
      <c r="M158" s="4" t="str">
        <f t="shared" si="2"/>
        <v>VALID</v>
      </c>
      <c r="N158" s="8"/>
    </row>
    <row r="159">
      <c r="A159" s="4">
        <v>1158.0</v>
      </c>
      <c r="B159" s="5">
        <v>45010.0</v>
      </c>
      <c r="C159" s="4" t="s">
        <v>21</v>
      </c>
      <c r="D159" s="4" t="s">
        <v>22</v>
      </c>
      <c r="E159" s="4" t="s">
        <v>18</v>
      </c>
      <c r="F159" s="4" t="s">
        <v>19</v>
      </c>
      <c r="G159" s="4" t="s">
        <v>15</v>
      </c>
      <c r="H159" s="6">
        <v>52157.0</v>
      </c>
      <c r="I159" s="7">
        <v>1.0</v>
      </c>
      <c r="J159" s="8">
        <v>0.1</v>
      </c>
      <c r="K159" s="6">
        <v>7216.0</v>
      </c>
      <c r="L159" s="8">
        <f t="shared" si="1"/>
        <v>0.1383515156</v>
      </c>
      <c r="M159" s="4" t="str">
        <f t="shared" si="2"/>
        <v>VALID</v>
      </c>
      <c r="N159" s="8"/>
    </row>
    <row r="160">
      <c r="A160" s="4">
        <v>1159.0</v>
      </c>
      <c r="B160" s="5">
        <v>44929.0</v>
      </c>
      <c r="C160" s="4" t="s">
        <v>25</v>
      </c>
      <c r="D160" s="4" t="s">
        <v>26</v>
      </c>
      <c r="E160" s="4" t="s">
        <v>23</v>
      </c>
      <c r="F160" s="4" t="s">
        <v>32</v>
      </c>
      <c r="G160" s="4" t="s">
        <v>28</v>
      </c>
      <c r="H160" s="6">
        <v>30873.0</v>
      </c>
      <c r="I160" s="7">
        <v>2.0</v>
      </c>
      <c r="J160" s="8">
        <v>0.07</v>
      </c>
      <c r="K160" s="6">
        <v>3197.0</v>
      </c>
      <c r="L160" s="8">
        <f t="shared" si="1"/>
        <v>0.1035532666</v>
      </c>
      <c r="M160" s="4" t="str">
        <f t="shared" si="2"/>
        <v>VALID</v>
      </c>
      <c r="N160" s="8"/>
    </row>
    <row r="161">
      <c r="A161" s="4">
        <v>1160.0</v>
      </c>
      <c r="B161" s="5">
        <v>44944.0</v>
      </c>
      <c r="C161" s="4" t="s">
        <v>11</v>
      </c>
      <c r="D161" s="4" t="s">
        <v>41</v>
      </c>
      <c r="E161" s="4" t="s">
        <v>13</v>
      </c>
      <c r="F161" s="4" t="s">
        <v>27</v>
      </c>
      <c r="G161" s="4" t="s">
        <v>15</v>
      </c>
      <c r="H161" s="6">
        <v>-3062.0</v>
      </c>
      <c r="I161" s="7">
        <v>1.0</v>
      </c>
      <c r="J161" s="8">
        <v>0.05</v>
      </c>
      <c r="K161" s="6">
        <v>1968.0</v>
      </c>
      <c r="L161" s="8">
        <f t="shared" si="1"/>
        <v>-0.6427171783</v>
      </c>
      <c r="M161" s="4" t="str">
        <f t="shared" si="2"/>
        <v>INVALID</v>
      </c>
      <c r="N161" s="8"/>
    </row>
    <row r="162">
      <c r="A162" s="4">
        <v>1161.0</v>
      </c>
      <c r="B162" s="5">
        <v>45013.0</v>
      </c>
      <c r="C162" s="4" t="s">
        <v>16</v>
      </c>
      <c r="D162" s="4" t="s">
        <v>44</v>
      </c>
      <c r="E162" s="4" t="s">
        <v>18</v>
      </c>
      <c r="F162" s="4" t="s">
        <v>36</v>
      </c>
      <c r="G162" s="4" t="s">
        <v>20</v>
      </c>
      <c r="H162" s="6">
        <v>13219.0</v>
      </c>
      <c r="I162" s="7">
        <v>1.0</v>
      </c>
      <c r="J162" s="8">
        <v>0.19</v>
      </c>
      <c r="K162" s="6">
        <v>3273.0</v>
      </c>
      <c r="L162" s="8">
        <f t="shared" si="1"/>
        <v>0.2475981542</v>
      </c>
      <c r="M162" s="4" t="str">
        <f t="shared" si="2"/>
        <v>VALID</v>
      </c>
      <c r="N162" s="8"/>
    </row>
    <row r="163">
      <c r="A163" s="4">
        <v>1162.0</v>
      </c>
      <c r="B163" s="5">
        <v>44991.0</v>
      </c>
      <c r="C163" s="4" t="s">
        <v>21</v>
      </c>
      <c r="D163" s="4" t="s">
        <v>40</v>
      </c>
      <c r="E163" s="4" t="s">
        <v>23</v>
      </c>
      <c r="F163" s="4" t="s">
        <v>37</v>
      </c>
      <c r="G163" s="4" t="s">
        <v>15</v>
      </c>
      <c r="H163" s="6">
        <v>10568.0</v>
      </c>
      <c r="I163" s="7">
        <v>1.0</v>
      </c>
      <c r="J163" s="8">
        <v>0.09</v>
      </c>
      <c r="K163" s="6">
        <v>1372.0</v>
      </c>
      <c r="L163" s="8">
        <f t="shared" si="1"/>
        <v>0.1298258895</v>
      </c>
      <c r="M163" s="4" t="str">
        <f t="shared" si="2"/>
        <v>VALID</v>
      </c>
      <c r="N163" s="8"/>
    </row>
    <row r="164">
      <c r="A164" s="4">
        <v>1163.0</v>
      </c>
      <c r="B164" s="5">
        <v>44946.0</v>
      </c>
      <c r="C164" s="4" t="s">
        <v>25</v>
      </c>
      <c r="D164" s="4" t="s">
        <v>53</v>
      </c>
      <c r="E164" s="4" t="s">
        <v>13</v>
      </c>
      <c r="F164" s="4" t="s">
        <v>34</v>
      </c>
      <c r="G164" s="4" t="s">
        <v>28</v>
      </c>
      <c r="H164" s="6">
        <v>2927.0</v>
      </c>
      <c r="I164" s="7">
        <v>1.0</v>
      </c>
      <c r="J164" s="8">
        <v>0.07</v>
      </c>
      <c r="K164" s="6">
        <v>860.0</v>
      </c>
      <c r="L164" s="8">
        <f t="shared" si="1"/>
        <v>0.2938161941</v>
      </c>
      <c r="M164" s="4" t="str">
        <f t="shared" si="2"/>
        <v>VALID</v>
      </c>
      <c r="N164" s="8"/>
    </row>
    <row r="165">
      <c r="A165" s="4">
        <v>1164.0</v>
      </c>
      <c r="B165" s="5">
        <v>45006.0</v>
      </c>
      <c r="C165" s="4" t="s">
        <v>11</v>
      </c>
      <c r="D165" s="4" t="s">
        <v>42</v>
      </c>
      <c r="E165" s="4" t="s">
        <v>18</v>
      </c>
      <c r="F165" s="4" t="s">
        <v>30</v>
      </c>
      <c r="G165" s="4" t="s">
        <v>15</v>
      </c>
      <c r="H165" s="6">
        <v>18599.0</v>
      </c>
      <c r="I165" s="7">
        <v>1.0</v>
      </c>
      <c r="J165" s="8">
        <v>0.12</v>
      </c>
      <c r="K165" s="6">
        <v>4147.0</v>
      </c>
      <c r="L165" s="8">
        <f t="shared" si="1"/>
        <v>0.2229689768</v>
      </c>
      <c r="M165" s="4" t="str">
        <f t="shared" si="2"/>
        <v>VALID</v>
      </c>
      <c r="N165" s="8"/>
    </row>
    <row r="166">
      <c r="A166" s="4">
        <v>1165.0</v>
      </c>
      <c r="B166" s="5">
        <v>44950.0</v>
      </c>
      <c r="C166" s="4" t="s">
        <v>16</v>
      </c>
      <c r="D166" s="4" t="s">
        <v>55</v>
      </c>
      <c r="E166" s="4" t="s">
        <v>23</v>
      </c>
      <c r="F166" s="4" t="s">
        <v>24</v>
      </c>
      <c r="G166" s="4" t="s">
        <v>20</v>
      </c>
      <c r="H166" s="6">
        <v>5785.0</v>
      </c>
      <c r="I166" s="7">
        <v>3.0</v>
      </c>
      <c r="J166" s="8">
        <v>0.05</v>
      </c>
      <c r="K166" s="6">
        <v>1900.0</v>
      </c>
      <c r="L166" s="8">
        <f t="shared" si="1"/>
        <v>0.3284356093</v>
      </c>
      <c r="M166" s="4" t="str">
        <f t="shared" si="2"/>
        <v>VALID</v>
      </c>
      <c r="N166" s="8"/>
    </row>
    <row r="167">
      <c r="A167" s="4">
        <v>1166.0</v>
      </c>
      <c r="B167" s="5">
        <v>45010.0</v>
      </c>
      <c r="C167" s="4" t="s">
        <v>21</v>
      </c>
      <c r="D167" s="4" t="s">
        <v>33</v>
      </c>
      <c r="E167" s="4" t="s">
        <v>13</v>
      </c>
      <c r="F167" s="4" t="s">
        <v>38</v>
      </c>
      <c r="G167" s="4" t="s">
        <v>15</v>
      </c>
      <c r="H167" s="6">
        <v>3322.0</v>
      </c>
      <c r="I167" s="7">
        <v>2.0</v>
      </c>
      <c r="J167" s="8">
        <v>0.08</v>
      </c>
      <c r="K167" s="6">
        <v>931.0</v>
      </c>
      <c r="L167" s="8">
        <f t="shared" si="1"/>
        <v>0.2802528597</v>
      </c>
      <c r="M167" s="4" t="str">
        <f t="shared" si="2"/>
        <v>VALID</v>
      </c>
      <c r="N167" s="8"/>
    </row>
    <row r="168">
      <c r="A168" s="4">
        <v>1167.0</v>
      </c>
      <c r="B168" s="5">
        <v>44999.0</v>
      </c>
      <c r="C168" s="4" t="s">
        <v>25</v>
      </c>
      <c r="D168" s="4" t="s">
        <v>26</v>
      </c>
      <c r="E168" s="4" t="s">
        <v>18</v>
      </c>
      <c r="F168" s="4" t="s">
        <v>19</v>
      </c>
      <c r="G168" s="4" t="s">
        <v>28</v>
      </c>
      <c r="H168" s="6">
        <v>3064.0</v>
      </c>
      <c r="I168" s="7">
        <v>1.0</v>
      </c>
      <c r="J168" s="8">
        <v>0.1</v>
      </c>
      <c r="K168" s="6">
        <v>-35.0</v>
      </c>
      <c r="L168" s="8">
        <f t="shared" si="1"/>
        <v>-0.0114229765</v>
      </c>
      <c r="M168" s="4" t="str">
        <f t="shared" si="2"/>
        <v>INVALID</v>
      </c>
      <c r="N168" s="8"/>
    </row>
    <row r="169">
      <c r="A169" s="4">
        <v>1168.0</v>
      </c>
      <c r="B169" s="5">
        <v>45004.0</v>
      </c>
      <c r="C169" s="4" t="s">
        <v>11</v>
      </c>
      <c r="D169" s="4" t="s">
        <v>12</v>
      </c>
      <c r="E169" s="4" t="s">
        <v>23</v>
      </c>
      <c r="F169" s="4" t="s">
        <v>46</v>
      </c>
      <c r="G169" s="4" t="s">
        <v>15</v>
      </c>
      <c r="H169" s="6">
        <v>35556.0</v>
      </c>
      <c r="I169" s="7">
        <v>2.0</v>
      </c>
      <c r="J169" s="8">
        <v>0.06</v>
      </c>
      <c r="K169" s="6">
        <v>5060.0</v>
      </c>
      <c r="L169" s="8">
        <f t="shared" si="1"/>
        <v>0.1423107211</v>
      </c>
      <c r="M169" s="4" t="str">
        <f t="shared" si="2"/>
        <v>VALID</v>
      </c>
      <c r="N169" s="8"/>
    </row>
    <row r="170">
      <c r="A170" s="4">
        <v>1169.0</v>
      </c>
      <c r="B170" s="5">
        <v>44997.0</v>
      </c>
      <c r="C170" s="4" t="s">
        <v>16</v>
      </c>
      <c r="D170" s="4" t="s">
        <v>17</v>
      </c>
      <c r="E170" s="4" t="s">
        <v>13</v>
      </c>
      <c r="F170" s="4" t="s">
        <v>43</v>
      </c>
      <c r="G170" s="4" t="s">
        <v>20</v>
      </c>
      <c r="H170" s="6">
        <v>1024.0</v>
      </c>
      <c r="I170" s="7">
        <v>1.0</v>
      </c>
      <c r="J170" s="8">
        <v>0.08</v>
      </c>
      <c r="K170" s="6">
        <v>1112.0</v>
      </c>
      <c r="L170" s="8">
        <f t="shared" si="1"/>
        <v>1.0859375</v>
      </c>
      <c r="M170" s="4" t="str">
        <f t="shared" si="2"/>
        <v>VALID</v>
      </c>
      <c r="N170" s="8"/>
    </row>
    <row r="171">
      <c r="A171" s="4">
        <v>1170.0</v>
      </c>
      <c r="B171" s="5">
        <v>44984.0</v>
      </c>
      <c r="C171" s="4" t="s">
        <v>21</v>
      </c>
      <c r="D171" s="4" t="s">
        <v>22</v>
      </c>
      <c r="E171" s="4" t="s">
        <v>18</v>
      </c>
      <c r="F171" s="4" t="s">
        <v>45</v>
      </c>
      <c r="G171" s="4" t="s">
        <v>15</v>
      </c>
      <c r="H171" s="6">
        <v>54581.0</v>
      </c>
      <c r="I171" s="7">
        <v>1.0</v>
      </c>
      <c r="J171" s="8">
        <v>0.15</v>
      </c>
      <c r="K171" s="6">
        <v>5976.0</v>
      </c>
      <c r="L171" s="8">
        <f t="shared" si="1"/>
        <v>0.1094886499</v>
      </c>
      <c r="M171" s="4" t="str">
        <f t="shared" si="2"/>
        <v>VALID</v>
      </c>
      <c r="N171" s="8"/>
    </row>
    <row r="172">
      <c r="A172" s="4">
        <v>1171.0</v>
      </c>
      <c r="B172" s="5">
        <v>44955.0</v>
      </c>
      <c r="C172" s="4" t="s">
        <v>25</v>
      </c>
      <c r="D172" s="4" t="s">
        <v>56</v>
      </c>
      <c r="E172" s="4" t="s">
        <v>23</v>
      </c>
      <c r="F172" s="4" t="s">
        <v>50</v>
      </c>
      <c r="G172" s="4" t="s">
        <v>28</v>
      </c>
      <c r="H172" s="6">
        <v>4674.0</v>
      </c>
      <c r="I172" s="7">
        <v>2.0</v>
      </c>
      <c r="J172" s="8">
        <v>0.09</v>
      </c>
      <c r="K172" s="6">
        <v>1970.0</v>
      </c>
      <c r="L172" s="8">
        <f t="shared" si="1"/>
        <v>0.4214805306</v>
      </c>
      <c r="M172" s="4" t="str">
        <f t="shared" si="2"/>
        <v>VALID</v>
      </c>
      <c r="N172" s="8"/>
    </row>
    <row r="173">
      <c r="A173" s="4">
        <v>1172.0</v>
      </c>
      <c r="B173" s="5">
        <v>44993.0</v>
      </c>
      <c r="C173" s="4" t="s">
        <v>11</v>
      </c>
      <c r="D173" s="4" t="s">
        <v>29</v>
      </c>
      <c r="E173" s="4" t="s">
        <v>13</v>
      </c>
      <c r="F173" s="4" t="s">
        <v>48</v>
      </c>
      <c r="G173" s="4" t="s">
        <v>15</v>
      </c>
      <c r="H173" s="6">
        <v>-2362.0</v>
      </c>
      <c r="I173" s="7">
        <v>1.0</v>
      </c>
      <c r="J173" s="8">
        <v>0.1</v>
      </c>
      <c r="K173" s="6">
        <v>444.0</v>
      </c>
      <c r="L173" s="8">
        <f t="shared" si="1"/>
        <v>-0.1879762913</v>
      </c>
      <c r="M173" s="4" t="str">
        <f t="shared" si="2"/>
        <v>INVALID</v>
      </c>
      <c r="N173" s="8"/>
    </row>
    <row r="174">
      <c r="A174" s="4">
        <v>1173.0</v>
      </c>
      <c r="B174" s="5">
        <v>45011.0</v>
      </c>
      <c r="C174" s="4" t="s">
        <v>16</v>
      </c>
      <c r="D174" s="4" t="s">
        <v>31</v>
      </c>
      <c r="E174" s="4" t="s">
        <v>18</v>
      </c>
      <c r="F174" s="4" t="s">
        <v>52</v>
      </c>
      <c r="G174" s="4" t="s">
        <v>20</v>
      </c>
      <c r="H174" s="6">
        <v>20492.0</v>
      </c>
      <c r="I174" s="7">
        <v>1.0</v>
      </c>
      <c r="J174" s="8">
        <v>0.13</v>
      </c>
      <c r="K174" s="6">
        <v>3862.0</v>
      </c>
      <c r="L174" s="8">
        <f t="shared" si="1"/>
        <v>0.1884637907</v>
      </c>
      <c r="M174" s="4" t="str">
        <f t="shared" si="2"/>
        <v>VALID</v>
      </c>
      <c r="N174" s="8"/>
    </row>
    <row r="175">
      <c r="A175" s="4">
        <v>1174.0</v>
      </c>
      <c r="B175" s="5">
        <v>44946.0</v>
      </c>
      <c r="C175" s="4" t="s">
        <v>21</v>
      </c>
      <c r="D175" s="4" t="s">
        <v>40</v>
      </c>
      <c r="E175" s="4" t="s">
        <v>23</v>
      </c>
      <c r="F175" s="4" t="s">
        <v>39</v>
      </c>
      <c r="G175" s="4" t="s">
        <v>15</v>
      </c>
      <c r="H175" s="6">
        <v>11301.0</v>
      </c>
      <c r="I175" s="7">
        <v>2.0</v>
      </c>
      <c r="J175" s="8">
        <v>0.05</v>
      </c>
      <c r="K175" s="6">
        <v>1065.0</v>
      </c>
      <c r="L175" s="8">
        <f t="shared" si="1"/>
        <v>0.09423944784</v>
      </c>
      <c r="M175" s="4" t="str">
        <f t="shared" si="2"/>
        <v>VALID</v>
      </c>
      <c r="N175" s="8"/>
    </row>
    <row r="176">
      <c r="A176" s="4">
        <v>1175.0</v>
      </c>
      <c r="B176" s="5">
        <v>44928.0</v>
      </c>
      <c r="C176" s="4" t="s">
        <v>25</v>
      </c>
      <c r="D176" s="4" t="s">
        <v>35</v>
      </c>
      <c r="E176" s="4" t="s">
        <v>13</v>
      </c>
      <c r="F176" s="4" t="s">
        <v>51</v>
      </c>
      <c r="G176" s="4" t="s">
        <v>28</v>
      </c>
      <c r="H176" s="6">
        <v>-1717.0</v>
      </c>
      <c r="I176" s="7">
        <v>1.0</v>
      </c>
      <c r="J176" s="8">
        <v>0.07</v>
      </c>
      <c r="K176" s="6">
        <v>271.0</v>
      </c>
      <c r="L176" s="8">
        <f t="shared" si="1"/>
        <v>-0.1578334304</v>
      </c>
      <c r="M176" s="4" t="str">
        <f t="shared" si="2"/>
        <v>INVALID</v>
      </c>
      <c r="N176" s="8"/>
    </row>
    <row r="177">
      <c r="A177" s="4">
        <v>1176.0</v>
      </c>
      <c r="B177" s="5">
        <v>44983.0</v>
      </c>
      <c r="C177" s="4" t="s">
        <v>11</v>
      </c>
      <c r="D177" s="4" t="s">
        <v>41</v>
      </c>
      <c r="E177" s="4" t="s">
        <v>18</v>
      </c>
      <c r="F177" s="4" t="s">
        <v>49</v>
      </c>
      <c r="G177" s="4" t="s">
        <v>15</v>
      </c>
      <c r="H177" s="6">
        <v>14011.0</v>
      </c>
      <c r="I177" s="7">
        <v>1.0</v>
      </c>
      <c r="J177" s="8">
        <v>0.16</v>
      </c>
      <c r="K177" s="6">
        <v>4033.0</v>
      </c>
      <c r="L177" s="8">
        <f t="shared" si="1"/>
        <v>0.2878452644</v>
      </c>
      <c r="M177" s="4" t="str">
        <f t="shared" si="2"/>
        <v>VALID</v>
      </c>
      <c r="N177" s="8"/>
    </row>
    <row r="178">
      <c r="A178" s="4">
        <v>1177.0</v>
      </c>
      <c r="B178" s="5">
        <v>44984.0</v>
      </c>
      <c r="C178" s="4" t="s">
        <v>16</v>
      </c>
      <c r="D178" s="4" t="s">
        <v>17</v>
      </c>
      <c r="E178" s="4" t="s">
        <v>23</v>
      </c>
      <c r="F178" s="4" t="s">
        <v>32</v>
      </c>
      <c r="G178" s="4" t="s">
        <v>20</v>
      </c>
      <c r="H178" s="6">
        <v>30887.0</v>
      </c>
      <c r="I178" s="7">
        <v>2.0</v>
      </c>
      <c r="J178" s="8">
        <v>0.09</v>
      </c>
      <c r="K178" s="6">
        <v>3380.0</v>
      </c>
      <c r="L178" s="8">
        <f t="shared" si="1"/>
        <v>0.1094311523</v>
      </c>
      <c r="M178" s="4" t="str">
        <f t="shared" si="2"/>
        <v>VALID</v>
      </c>
      <c r="N178" s="8"/>
    </row>
    <row r="179">
      <c r="A179" s="4">
        <v>1178.0</v>
      </c>
      <c r="B179" s="5">
        <v>44991.0</v>
      </c>
      <c r="C179" s="4" t="s">
        <v>21</v>
      </c>
      <c r="D179" s="4" t="s">
        <v>33</v>
      </c>
      <c r="E179" s="4" t="s">
        <v>13</v>
      </c>
      <c r="F179" s="4" t="s">
        <v>27</v>
      </c>
      <c r="G179" s="4" t="s">
        <v>15</v>
      </c>
      <c r="H179" s="6">
        <v>9514.0</v>
      </c>
      <c r="I179" s="7">
        <v>1.0</v>
      </c>
      <c r="J179" s="8">
        <v>0.05</v>
      </c>
      <c r="K179" s="6">
        <v>1003.0</v>
      </c>
      <c r="L179" s="8">
        <f t="shared" si="1"/>
        <v>0.1054235863</v>
      </c>
      <c r="M179" s="4" t="str">
        <f t="shared" si="2"/>
        <v>VALID</v>
      </c>
      <c r="N179" s="8"/>
    </row>
    <row r="180">
      <c r="A180" s="4">
        <v>1179.0</v>
      </c>
      <c r="B180" s="5">
        <v>44983.0</v>
      </c>
      <c r="C180" s="4" t="s">
        <v>25</v>
      </c>
      <c r="D180" s="4" t="s">
        <v>53</v>
      </c>
      <c r="E180" s="4" t="s">
        <v>18</v>
      </c>
      <c r="F180" s="4" t="s">
        <v>36</v>
      </c>
      <c r="G180" s="4" t="s">
        <v>28</v>
      </c>
      <c r="H180" s="6">
        <v>58430.0</v>
      </c>
      <c r="I180" s="7">
        <v>1.0</v>
      </c>
      <c r="J180" s="8">
        <v>0.18</v>
      </c>
      <c r="K180" s="6">
        <v>8095.0</v>
      </c>
      <c r="L180" s="8">
        <f t="shared" si="1"/>
        <v>0.1385418449</v>
      </c>
      <c r="M180" s="4" t="str">
        <f t="shared" si="2"/>
        <v>VALID</v>
      </c>
      <c r="N180" s="8"/>
    </row>
    <row r="181">
      <c r="A181" s="4">
        <v>1180.0</v>
      </c>
      <c r="B181" s="5">
        <v>44958.0</v>
      </c>
      <c r="C181" s="4" t="s">
        <v>11</v>
      </c>
      <c r="D181" s="4" t="s">
        <v>12</v>
      </c>
      <c r="E181" s="4" t="s">
        <v>23</v>
      </c>
      <c r="F181" s="4" t="s">
        <v>46</v>
      </c>
      <c r="G181" s="4" t="s">
        <v>15</v>
      </c>
      <c r="H181" s="6">
        <v>6549.0</v>
      </c>
      <c r="I181" s="7">
        <v>2.0</v>
      </c>
      <c r="J181" s="8">
        <v>0.1</v>
      </c>
      <c r="K181" s="6">
        <v>2274.0</v>
      </c>
      <c r="L181" s="8">
        <f t="shared" si="1"/>
        <v>0.3472285845</v>
      </c>
      <c r="M181" s="4" t="str">
        <f t="shared" si="2"/>
        <v>VALID</v>
      </c>
      <c r="N181" s="8"/>
    </row>
    <row r="182">
      <c r="A182" s="4">
        <v>1181.0</v>
      </c>
      <c r="B182" s="5">
        <v>45003.0</v>
      </c>
      <c r="C182" s="4" t="s">
        <v>16</v>
      </c>
      <c r="D182" s="4" t="s">
        <v>17</v>
      </c>
      <c r="E182" s="4" t="s">
        <v>13</v>
      </c>
      <c r="F182" s="4" t="s">
        <v>43</v>
      </c>
      <c r="G182" s="4" t="s">
        <v>20</v>
      </c>
      <c r="H182" s="6">
        <v>6881.0</v>
      </c>
      <c r="I182" s="7">
        <v>1.0</v>
      </c>
      <c r="J182" s="8">
        <v>0.15</v>
      </c>
      <c r="K182" s="6">
        <v>-596.0</v>
      </c>
      <c r="L182" s="8">
        <f t="shared" si="1"/>
        <v>-0.08661531754</v>
      </c>
      <c r="M182" s="4" t="str">
        <f t="shared" si="2"/>
        <v>INVALID</v>
      </c>
      <c r="N182" s="8"/>
    </row>
    <row r="183">
      <c r="A183" s="4">
        <v>1182.0</v>
      </c>
      <c r="B183" s="5">
        <v>44955.0</v>
      </c>
      <c r="C183" s="4" t="s">
        <v>21</v>
      </c>
      <c r="D183" s="4" t="s">
        <v>22</v>
      </c>
      <c r="E183" s="4" t="s">
        <v>18</v>
      </c>
      <c r="F183" s="4" t="s">
        <v>45</v>
      </c>
      <c r="G183" s="4" t="s">
        <v>15</v>
      </c>
      <c r="H183" s="6">
        <v>21329.0</v>
      </c>
      <c r="I183" s="7">
        <v>3.0</v>
      </c>
      <c r="J183" s="8">
        <v>0.05</v>
      </c>
      <c r="K183" s="6">
        <v>2885.0</v>
      </c>
      <c r="L183" s="8">
        <f t="shared" si="1"/>
        <v>0.1352618501</v>
      </c>
      <c r="M183" s="4" t="str">
        <f t="shared" si="2"/>
        <v>VALID</v>
      </c>
      <c r="N183" s="8"/>
    </row>
    <row r="184">
      <c r="A184" s="4">
        <v>1183.0</v>
      </c>
      <c r="B184" s="5">
        <v>44992.0</v>
      </c>
      <c r="C184" s="4" t="s">
        <v>25</v>
      </c>
      <c r="D184" s="4" t="s">
        <v>47</v>
      </c>
      <c r="E184" s="4" t="s">
        <v>23</v>
      </c>
      <c r="F184" s="4" t="s">
        <v>50</v>
      </c>
      <c r="G184" s="4" t="s">
        <v>28</v>
      </c>
      <c r="H184" s="6">
        <v>9086.0</v>
      </c>
      <c r="I184" s="7">
        <v>1.0</v>
      </c>
      <c r="J184" s="8">
        <v>0.08</v>
      </c>
      <c r="K184" s="6">
        <v>1062.0</v>
      </c>
      <c r="L184" s="8">
        <f t="shared" si="1"/>
        <v>0.1168831169</v>
      </c>
      <c r="M184" s="4" t="str">
        <f t="shared" si="2"/>
        <v>VALID</v>
      </c>
      <c r="N184" s="8"/>
    </row>
    <row r="185">
      <c r="A185" s="4">
        <v>1184.0</v>
      </c>
      <c r="B185" s="5">
        <v>44950.0</v>
      </c>
      <c r="C185" s="4" t="s">
        <v>11</v>
      </c>
      <c r="D185" s="4" t="s">
        <v>29</v>
      </c>
      <c r="E185" s="4" t="s">
        <v>13</v>
      </c>
      <c r="F185" s="4" t="s">
        <v>48</v>
      </c>
      <c r="G185" s="4" t="s">
        <v>15</v>
      </c>
      <c r="H185" s="6">
        <v>6000.0</v>
      </c>
      <c r="I185" s="7">
        <v>1.0</v>
      </c>
      <c r="J185" s="8">
        <v>0.12</v>
      </c>
      <c r="K185" s="6">
        <v>1449.0</v>
      </c>
      <c r="L185" s="8">
        <f t="shared" si="1"/>
        <v>0.2415</v>
      </c>
      <c r="M185" s="4" t="str">
        <f t="shared" si="2"/>
        <v>VALID</v>
      </c>
      <c r="N185" s="8"/>
    </row>
    <row r="186">
      <c r="A186" s="4">
        <v>1185.0</v>
      </c>
      <c r="B186" s="5">
        <v>45004.0</v>
      </c>
      <c r="C186" s="4" t="s">
        <v>16</v>
      </c>
      <c r="D186" s="4" t="s">
        <v>31</v>
      </c>
      <c r="E186" s="4" t="s">
        <v>18</v>
      </c>
      <c r="F186" s="4" t="s">
        <v>52</v>
      </c>
      <c r="G186" s="4" t="s">
        <v>20</v>
      </c>
      <c r="H186" s="6">
        <v>5269.0</v>
      </c>
      <c r="I186" s="7">
        <v>2.0</v>
      </c>
      <c r="J186" s="8">
        <v>0.1</v>
      </c>
      <c r="K186" s="6">
        <v>842.0</v>
      </c>
      <c r="L186" s="8">
        <f t="shared" si="1"/>
        <v>0.1598026191</v>
      </c>
      <c r="M186" s="4" t="str">
        <f t="shared" si="2"/>
        <v>VALID</v>
      </c>
      <c r="N186" s="8"/>
    </row>
    <row r="187">
      <c r="A187" s="4">
        <v>1186.0</v>
      </c>
      <c r="B187" s="5">
        <v>44927.0</v>
      </c>
      <c r="C187" s="4" t="s">
        <v>21</v>
      </c>
      <c r="D187" s="4" t="s">
        <v>40</v>
      </c>
      <c r="E187" s="4" t="s">
        <v>23</v>
      </c>
      <c r="F187" s="4" t="s">
        <v>39</v>
      </c>
      <c r="G187" s="4" t="s">
        <v>15</v>
      </c>
      <c r="H187" s="6">
        <v>27052.0</v>
      </c>
      <c r="I187" s="7">
        <v>1.0</v>
      </c>
      <c r="J187" s="8">
        <v>0.07</v>
      </c>
      <c r="K187" s="6">
        <v>4369.0</v>
      </c>
      <c r="L187" s="8">
        <f t="shared" si="1"/>
        <v>0.1615037705</v>
      </c>
      <c r="M187" s="4" t="str">
        <f t="shared" si="2"/>
        <v>VALID</v>
      </c>
      <c r="N187" s="8"/>
    </row>
    <row r="188">
      <c r="A188" s="4">
        <v>1187.0</v>
      </c>
      <c r="B188" s="5">
        <v>45013.0</v>
      </c>
      <c r="C188" s="4" t="s">
        <v>25</v>
      </c>
      <c r="D188" s="4" t="s">
        <v>35</v>
      </c>
      <c r="E188" s="4" t="s">
        <v>13</v>
      </c>
      <c r="F188" s="4" t="s">
        <v>51</v>
      </c>
      <c r="G188" s="4" t="s">
        <v>28</v>
      </c>
      <c r="H188" s="6">
        <v>4183.0</v>
      </c>
      <c r="I188" s="7">
        <v>1.0</v>
      </c>
      <c r="J188" s="8">
        <v>0.2</v>
      </c>
      <c r="K188" s="6">
        <v>-71.0</v>
      </c>
      <c r="L188" s="8">
        <f t="shared" si="1"/>
        <v>-0.01697346402</v>
      </c>
      <c r="M188" s="4" t="str">
        <f t="shared" si="2"/>
        <v>INVALID</v>
      </c>
      <c r="N188" s="8"/>
    </row>
    <row r="189">
      <c r="A189" s="4">
        <v>1188.0</v>
      </c>
      <c r="B189" s="5">
        <v>44944.0</v>
      </c>
      <c r="C189" s="4" t="s">
        <v>11</v>
      </c>
      <c r="D189" s="4" t="s">
        <v>41</v>
      </c>
      <c r="E189" s="4" t="s">
        <v>18</v>
      </c>
      <c r="F189" s="4" t="s">
        <v>49</v>
      </c>
      <c r="G189" s="4" t="s">
        <v>15</v>
      </c>
      <c r="H189" s="6">
        <v>14740.0</v>
      </c>
      <c r="I189" s="7">
        <v>1.0</v>
      </c>
      <c r="J189" s="8">
        <v>0.1</v>
      </c>
      <c r="K189" s="6">
        <v>2046.0</v>
      </c>
      <c r="L189" s="8">
        <f t="shared" si="1"/>
        <v>0.1388059701</v>
      </c>
      <c r="M189" s="4" t="str">
        <f t="shared" si="2"/>
        <v>VALID</v>
      </c>
      <c r="N189" s="8"/>
    </row>
    <row r="190">
      <c r="A190" s="4">
        <v>1189.0</v>
      </c>
      <c r="B190" s="5">
        <v>44983.0</v>
      </c>
      <c r="C190" s="4" t="s">
        <v>16</v>
      </c>
      <c r="D190" s="4" t="s">
        <v>17</v>
      </c>
      <c r="E190" s="4" t="s">
        <v>23</v>
      </c>
      <c r="F190" s="4" t="s">
        <v>32</v>
      </c>
      <c r="G190" s="4" t="s">
        <v>20</v>
      </c>
      <c r="H190" s="6">
        <v>7194.0</v>
      </c>
      <c r="I190" s="7">
        <v>1.0</v>
      </c>
      <c r="J190" s="8">
        <v>0.05</v>
      </c>
      <c r="K190" s="6">
        <v>513.0</v>
      </c>
      <c r="L190" s="8">
        <f t="shared" si="1"/>
        <v>0.07130942452</v>
      </c>
      <c r="M190" s="4" t="str">
        <f t="shared" si="2"/>
        <v>VALID</v>
      </c>
      <c r="N190" s="8"/>
    </row>
    <row r="191">
      <c r="A191" s="4">
        <v>1190.0</v>
      </c>
      <c r="B191" s="5">
        <v>45014.0</v>
      </c>
      <c r="C191" s="4" t="s">
        <v>21</v>
      </c>
      <c r="D191" s="4" t="s">
        <v>33</v>
      </c>
      <c r="E191" s="4" t="s">
        <v>13</v>
      </c>
      <c r="F191" s="4" t="s">
        <v>27</v>
      </c>
      <c r="G191" s="4" t="s">
        <v>15</v>
      </c>
      <c r="H191" s="6">
        <v>1259.0</v>
      </c>
      <c r="I191" s="7">
        <v>1.0</v>
      </c>
      <c r="J191" s="8">
        <v>0.1</v>
      </c>
      <c r="K191" s="6">
        <v>293.0</v>
      </c>
      <c r="L191" s="8">
        <f t="shared" si="1"/>
        <v>0.2327243844</v>
      </c>
      <c r="M191" s="4" t="str">
        <f t="shared" si="2"/>
        <v>VALID</v>
      </c>
      <c r="N191" s="8"/>
    </row>
    <row r="192">
      <c r="A192" s="4">
        <v>1191.0</v>
      </c>
      <c r="B192" s="5">
        <v>44982.0</v>
      </c>
      <c r="C192" s="4" t="s">
        <v>25</v>
      </c>
      <c r="D192" s="4" t="s">
        <v>53</v>
      </c>
      <c r="E192" s="4" t="s">
        <v>18</v>
      </c>
      <c r="F192" s="4" t="s">
        <v>36</v>
      </c>
      <c r="G192" s="4" t="s">
        <v>28</v>
      </c>
      <c r="H192" s="6">
        <v>26352.0</v>
      </c>
      <c r="I192" s="7">
        <v>2.0</v>
      </c>
      <c r="J192" s="8">
        <v>0.05</v>
      </c>
      <c r="K192" s="6">
        <v>3300.0</v>
      </c>
      <c r="L192" s="8">
        <f t="shared" si="1"/>
        <v>0.1252276867</v>
      </c>
      <c r="M192" s="4" t="str">
        <f t="shared" si="2"/>
        <v>VALID</v>
      </c>
      <c r="N192" s="8"/>
    </row>
    <row r="193">
      <c r="A193" s="4">
        <v>1192.0</v>
      </c>
      <c r="B193" s="5">
        <v>45013.0</v>
      </c>
      <c r="C193" s="4" t="s">
        <v>11</v>
      </c>
      <c r="D193" s="4" t="s">
        <v>12</v>
      </c>
      <c r="E193" s="4" t="s">
        <v>23</v>
      </c>
      <c r="F193" s="4" t="s">
        <v>37</v>
      </c>
      <c r="G193" s="4" t="s">
        <v>15</v>
      </c>
      <c r="H193" s="6">
        <v>12065.0</v>
      </c>
      <c r="I193" s="7">
        <v>2.0</v>
      </c>
      <c r="J193" s="8">
        <v>0.08</v>
      </c>
      <c r="K193" s="6">
        <v>310.0</v>
      </c>
      <c r="L193" s="8">
        <f t="shared" si="1"/>
        <v>0.02569415665</v>
      </c>
      <c r="M193" s="4" t="str">
        <f t="shared" si="2"/>
        <v>VALID</v>
      </c>
      <c r="N193" s="8"/>
    </row>
    <row r="194">
      <c r="A194" s="4">
        <v>1193.0</v>
      </c>
      <c r="B194" s="5">
        <v>44997.0</v>
      </c>
      <c r="C194" s="4" t="s">
        <v>16</v>
      </c>
      <c r="D194" s="4" t="s">
        <v>44</v>
      </c>
      <c r="E194" s="4" t="s">
        <v>13</v>
      </c>
      <c r="F194" s="4" t="s">
        <v>14</v>
      </c>
      <c r="G194" s="4" t="s">
        <v>20</v>
      </c>
      <c r="H194" s="6">
        <v>7355.0</v>
      </c>
      <c r="I194" s="7">
        <v>1.0</v>
      </c>
      <c r="J194" s="8">
        <v>0.15</v>
      </c>
      <c r="K194" s="6">
        <v>1027.0</v>
      </c>
      <c r="L194" s="8">
        <f t="shared" si="1"/>
        <v>0.1396329028</v>
      </c>
      <c r="M194" s="4" t="str">
        <f t="shared" si="2"/>
        <v>VALID</v>
      </c>
      <c r="N194" s="8"/>
    </row>
    <row r="195">
      <c r="A195" s="4">
        <v>1194.0</v>
      </c>
      <c r="B195" s="5">
        <v>44933.0</v>
      </c>
      <c r="C195" s="4" t="s">
        <v>21</v>
      </c>
      <c r="D195" s="4" t="s">
        <v>22</v>
      </c>
      <c r="E195" s="4" t="s">
        <v>18</v>
      </c>
      <c r="F195" s="4" t="s">
        <v>19</v>
      </c>
      <c r="G195" s="4" t="s">
        <v>15</v>
      </c>
      <c r="H195" s="6">
        <v>22821.0</v>
      </c>
      <c r="I195" s="7">
        <v>3.0</v>
      </c>
      <c r="J195" s="8">
        <v>0.05</v>
      </c>
      <c r="K195" s="6">
        <v>4144.0</v>
      </c>
      <c r="L195" s="8">
        <f t="shared" si="1"/>
        <v>0.1815871347</v>
      </c>
      <c r="M195" s="4" t="str">
        <f t="shared" si="2"/>
        <v>VALID</v>
      </c>
      <c r="N195" s="8"/>
    </row>
    <row r="196">
      <c r="A196" s="4">
        <v>1195.0</v>
      </c>
      <c r="B196" s="5">
        <v>44969.0</v>
      </c>
      <c r="C196" s="4" t="s">
        <v>25</v>
      </c>
      <c r="D196" s="4" t="s">
        <v>26</v>
      </c>
      <c r="E196" s="4" t="s">
        <v>23</v>
      </c>
      <c r="F196" s="4" t="s">
        <v>24</v>
      </c>
      <c r="G196" s="4" t="s">
        <v>28</v>
      </c>
      <c r="H196" s="6">
        <v>13771.0</v>
      </c>
      <c r="I196" s="7">
        <v>1.0</v>
      </c>
      <c r="J196" s="8">
        <v>0.1</v>
      </c>
      <c r="K196" s="6">
        <v>1506.0</v>
      </c>
      <c r="L196" s="8">
        <f t="shared" si="1"/>
        <v>0.1093602498</v>
      </c>
      <c r="M196" s="4" t="str">
        <f t="shared" si="2"/>
        <v>VALID</v>
      </c>
      <c r="N196" s="8"/>
    </row>
    <row r="197">
      <c r="A197" s="4">
        <v>1196.0</v>
      </c>
      <c r="B197" s="5">
        <v>44991.0</v>
      </c>
      <c r="C197" s="4" t="s">
        <v>11</v>
      </c>
      <c r="D197" s="4" t="s">
        <v>54</v>
      </c>
      <c r="E197" s="4" t="s">
        <v>13</v>
      </c>
      <c r="F197" s="4" t="s">
        <v>43</v>
      </c>
      <c r="G197" s="4" t="s">
        <v>15</v>
      </c>
      <c r="H197" s="6">
        <v>1301.0</v>
      </c>
      <c r="I197" s="7">
        <v>1.0</v>
      </c>
      <c r="J197" s="8">
        <v>0.18</v>
      </c>
      <c r="K197" s="6">
        <v>1427.0</v>
      </c>
      <c r="L197" s="8">
        <f t="shared" si="1"/>
        <v>1.096848578</v>
      </c>
      <c r="M197" s="4" t="str">
        <f t="shared" si="2"/>
        <v>VALID</v>
      </c>
      <c r="N197" s="8"/>
    </row>
    <row r="198">
      <c r="A198" s="4">
        <v>1197.0</v>
      </c>
      <c r="B198" s="5">
        <v>44959.0</v>
      </c>
      <c r="C198" s="4" t="s">
        <v>16</v>
      </c>
      <c r="D198" s="4" t="s">
        <v>55</v>
      </c>
      <c r="E198" s="4" t="s">
        <v>18</v>
      </c>
      <c r="F198" s="4" t="s">
        <v>45</v>
      </c>
      <c r="G198" s="4" t="s">
        <v>20</v>
      </c>
      <c r="H198" s="6">
        <v>15535.0</v>
      </c>
      <c r="I198" s="7">
        <v>2.0</v>
      </c>
      <c r="J198" s="8">
        <v>0.1</v>
      </c>
      <c r="K198" s="6">
        <v>2052.0</v>
      </c>
      <c r="L198" s="8">
        <f t="shared" si="1"/>
        <v>0.1320888317</v>
      </c>
      <c r="M198" s="4" t="str">
        <f t="shared" si="2"/>
        <v>VALID</v>
      </c>
      <c r="N198" s="8"/>
    </row>
    <row r="199">
      <c r="A199" s="4">
        <v>1198.0</v>
      </c>
      <c r="B199" s="5">
        <v>45015.0</v>
      </c>
      <c r="C199" s="4" t="s">
        <v>21</v>
      </c>
      <c r="D199" s="4" t="s">
        <v>40</v>
      </c>
      <c r="E199" s="4" t="s">
        <v>23</v>
      </c>
      <c r="F199" s="4" t="s">
        <v>46</v>
      </c>
      <c r="G199" s="4" t="s">
        <v>15</v>
      </c>
      <c r="H199" s="6">
        <v>29328.0</v>
      </c>
      <c r="I199" s="7">
        <v>1.0</v>
      </c>
      <c r="J199" s="8">
        <v>0.06</v>
      </c>
      <c r="K199" s="6">
        <v>4041.0</v>
      </c>
      <c r="L199" s="8">
        <f t="shared" si="1"/>
        <v>0.1377864157</v>
      </c>
      <c r="M199" s="4" t="str">
        <f t="shared" si="2"/>
        <v>VALID</v>
      </c>
      <c r="N199" s="8"/>
    </row>
    <row r="200">
      <c r="A200" s="4">
        <v>1199.0</v>
      </c>
      <c r="B200" s="5">
        <v>45013.0</v>
      </c>
      <c r="C200" s="4" t="s">
        <v>25</v>
      </c>
      <c r="D200" s="4" t="s">
        <v>56</v>
      </c>
      <c r="E200" s="4" t="s">
        <v>13</v>
      </c>
      <c r="F200" s="4" t="s">
        <v>48</v>
      </c>
      <c r="G200" s="4" t="s">
        <v>28</v>
      </c>
      <c r="H200" s="6">
        <v>-44.0</v>
      </c>
      <c r="I200" s="7">
        <v>1.0</v>
      </c>
      <c r="J200" s="8">
        <v>0.12</v>
      </c>
      <c r="K200" s="6">
        <v>875.0</v>
      </c>
      <c r="L200" s="8">
        <f t="shared" si="1"/>
        <v>-19.88636364</v>
      </c>
      <c r="M200" s="4" t="str">
        <f t="shared" si="2"/>
        <v>INVALID</v>
      </c>
      <c r="N200" s="8"/>
    </row>
    <row r="201">
      <c r="A201" s="4">
        <v>1200.0</v>
      </c>
      <c r="B201" s="5">
        <v>44987.0</v>
      </c>
      <c r="C201" s="4" t="s">
        <v>11</v>
      </c>
      <c r="D201" s="4" t="s">
        <v>12</v>
      </c>
      <c r="E201" s="4" t="s">
        <v>18</v>
      </c>
      <c r="F201" s="4" t="s">
        <v>49</v>
      </c>
      <c r="G201" s="4" t="s">
        <v>15</v>
      </c>
      <c r="H201" s="6">
        <v>61105.0</v>
      </c>
      <c r="I201" s="7">
        <v>1.0</v>
      </c>
      <c r="J201" s="8">
        <v>0.07</v>
      </c>
      <c r="K201" s="6">
        <v>6861.0</v>
      </c>
      <c r="L201" s="8">
        <f t="shared" si="1"/>
        <v>0.1122821373</v>
      </c>
      <c r="M201" s="4" t="str">
        <f t="shared" si="2"/>
        <v>VALID</v>
      </c>
      <c r="N201" s="8"/>
    </row>
    <row r="202">
      <c r="A202" s="10"/>
      <c r="B202" s="5"/>
      <c r="H202" s="6"/>
      <c r="I202" s="7"/>
      <c r="J202" s="8"/>
      <c r="K202" s="6"/>
      <c r="L202" s="8"/>
      <c r="N202" s="8"/>
    </row>
    <row r="203">
      <c r="A203" s="10"/>
      <c r="B203" s="5"/>
      <c r="H203" s="6"/>
      <c r="I203" s="7"/>
      <c r="J203" s="8"/>
      <c r="K203" s="6"/>
      <c r="L203" s="8"/>
      <c r="N203" s="8"/>
    </row>
    <row r="204">
      <c r="A204" s="10"/>
      <c r="B204" s="5"/>
      <c r="H204" s="6"/>
      <c r="I204" s="7"/>
      <c r="J204" s="8"/>
      <c r="K204" s="6"/>
      <c r="L204" s="8"/>
      <c r="N204" s="8"/>
    </row>
    <row r="205">
      <c r="A205" s="10"/>
      <c r="B205" s="5"/>
      <c r="H205" s="6"/>
      <c r="I205" s="7"/>
      <c r="J205" s="8"/>
      <c r="K205" s="6"/>
      <c r="L205" s="8"/>
      <c r="N205" s="8"/>
    </row>
    <row r="206">
      <c r="A206" s="10"/>
      <c r="B206" s="5"/>
      <c r="H206" s="6"/>
      <c r="I206" s="7"/>
      <c r="J206" s="8"/>
      <c r="K206" s="6"/>
      <c r="L206" s="8"/>
      <c r="N206" s="8"/>
    </row>
    <row r="207">
      <c r="A207" s="10"/>
      <c r="B207" s="5"/>
      <c r="H207" s="6"/>
      <c r="I207" s="7"/>
      <c r="J207" s="8"/>
      <c r="K207" s="6"/>
      <c r="L207" s="8"/>
      <c r="N207" s="8"/>
    </row>
    <row r="208">
      <c r="A208" s="10"/>
      <c r="B208" s="5"/>
      <c r="H208" s="6"/>
      <c r="I208" s="7"/>
      <c r="J208" s="8"/>
      <c r="K208" s="6"/>
      <c r="L208" s="8"/>
      <c r="N208" s="8"/>
    </row>
    <row r="209">
      <c r="A209" s="10"/>
      <c r="B209" s="5"/>
      <c r="H209" s="6"/>
      <c r="I209" s="7"/>
      <c r="J209" s="8"/>
      <c r="K209" s="6"/>
      <c r="L209" s="8"/>
      <c r="N209" s="8"/>
    </row>
    <row r="210">
      <c r="A210" s="10"/>
      <c r="B210" s="5"/>
      <c r="H210" s="6"/>
      <c r="I210" s="7"/>
      <c r="J210" s="8"/>
      <c r="K210" s="6"/>
      <c r="L210" s="8"/>
      <c r="N210" s="8"/>
    </row>
    <row r="211">
      <c r="A211" s="10"/>
      <c r="B211" s="5"/>
      <c r="H211" s="6"/>
      <c r="I211" s="7"/>
      <c r="J211" s="8"/>
      <c r="K211" s="6"/>
      <c r="L211" s="8"/>
      <c r="N211" s="8"/>
    </row>
    <row r="212">
      <c r="A212" s="10"/>
      <c r="B212" s="5"/>
      <c r="H212" s="6"/>
      <c r="I212" s="7"/>
      <c r="J212" s="8"/>
      <c r="K212" s="6"/>
      <c r="L212" s="8"/>
      <c r="N212" s="8"/>
    </row>
    <row r="213">
      <c r="A213" s="10"/>
      <c r="B213" s="5"/>
      <c r="H213" s="6"/>
      <c r="I213" s="7"/>
      <c r="J213" s="8"/>
      <c r="K213" s="6"/>
      <c r="L213" s="8"/>
      <c r="N213" s="8"/>
    </row>
    <row r="214">
      <c r="A214" s="10"/>
      <c r="B214" s="5"/>
      <c r="H214" s="6"/>
      <c r="I214" s="7"/>
      <c r="J214" s="8"/>
      <c r="K214" s="6"/>
      <c r="L214" s="8"/>
      <c r="N214" s="8"/>
    </row>
    <row r="215">
      <c r="A215" s="10"/>
      <c r="B215" s="5"/>
      <c r="H215" s="6"/>
      <c r="I215" s="7"/>
      <c r="J215" s="8"/>
      <c r="K215" s="6"/>
      <c r="L215" s="8"/>
      <c r="N215" s="8"/>
    </row>
    <row r="216">
      <c r="A216" s="10"/>
      <c r="B216" s="5"/>
      <c r="H216" s="6"/>
      <c r="I216" s="7"/>
      <c r="J216" s="8"/>
      <c r="K216" s="6"/>
      <c r="L216" s="8"/>
      <c r="N216" s="8"/>
    </row>
    <row r="217">
      <c r="A217" s="10"/>
      <c r="B217" s="5"/>
      <c r="H217" s="6"/>
      <c r="I217" s="7"/>
      <c r="J217" s="8"/>
      <c r="K217" s="6"/>
      <c r="L217" s="8"/>
      <c r="N217" s="8"/>
    </row>
    <row r="218">
      <c r="A218" s="10"/>
      <c r="B218" s="5"/>
      <c r="H218" s="6"/>
      <c r="I218" s="7"/>
      <c r="J218" s="8"/>
      <c r="K218" s="6"/>
      <c r="L218" s="8"/>
      <c r="N218" s="8"/>
    </row>
    <row r="219">
      <c r="A219" s="10"/>
      <c r="B219" s="5"/>
      <c r="H219" s="6"/>
      <c r="I219" s="7"/>
      <c r="J219" s="8"/>
      <c r="K219" s="6"/>
      <c r="L219" s="8"/>
      <c r="N219" s="8"/>
    </row>
    <row r="220">
      <c r="A220" s="10"/>
      <c r="B220" s="5"/>
      <c r="H220" s="6"/>
      <c r="I220" s="7"/>
      <c r="J220" s="8"/>
      <c r="K220" s="6"/>
      <c r="L220" s="8"/>
      <c r="N220" s="8"/>
    </row>
    <row r="221">
      <c r="A221" s="10"/>
      <c r="B221" s="5"/>
      <c r="H221" s="6"/>
      <c r="I221" s="7"/>
      <c r="J221" s="8"/>
      <c r="K221" s="6"/>
      <c r="L221" s="8"/>
      <c r="N221" s="8"/>
    </row>
    <row r="222">
      <c r="A222" s="10"/>
      <c r="B222" s="5"/>
      <c r="H222" s="6"/>
      <c r="I222" s="7"/>
      <c r="J222" s="8"/>
      <c r="K222" s="6"/>
      <c r="L222" s="8"/>
      <c r="N222" s="8"/>
    </row>
    <row r="223">
      <c r="A223" s="10"/>
      <c r="B223" s="5"/>
      <c r="H223" s="6"/>
      <c r="I223" s="7"/>
      <c r="J223" s="8"/>
      <c r="K223" s="6"/>
      <c r="L223" s="8"/>
      <c r="N223" s="8"/>
    </row>
    <row r="224">
      <c r="A224" s="10"/>
      <c r="B224" s="5"/>
      <c r="H224" s="6"/>
      <c r="I224" s="7"/>
      <c r="J224" s="8"/>
      <c r="K224" s="6"/>
      <c r="L224" s="8"/>
      <c r="N224" s="8"/>
    </row>
    <row r="225">
      <c r="A225" s="10"/>
      <c r="B225" s="5"/>
      <c r="H225" s="6"/>
      <c r="I225" s="7"/>
      <c r="J225" s="8"/>
      <c r="K225" s="6"/>
      <c r="L225" s="8"/>
      <c r="N225" s="8"/>
    </row>
    <row r="226">
      <c r="A226" s="10"/>
      <c r="B226" s="5"/>
      <c r="H226" s="6"/>
      <c r="I226" s="7"/>
      <c r="J226" s="8"/>
      <c r="K226" s="6"/>
      <c r="L226" s="8"/>
      <c r="N226" s="8"/>
    </row>
    <row r="227">
      <c r="A227" s="10"/>
      <c r="B227" s="5"/>
      <c r="H227" s="6"/>
      <c r="I227" s="7"/>
      <c r="J227" s="8"/>
      <c r="K227" s="6"/>
      <c r="L227" s="8"/>
      <c r="N227" s="8"/>
    </row>
    <row r="228">
      <c r="A228" s="10"/>
      <c r="B228" s="5"/>
      <c r="H228" s="6"/>
      <c r="I228" s="7"/>
      <c r="J228" s="8"/>
      <c r="K228" s="6"/>
      <c r="L228" s="8"/>
      <c r="N228" s="8"/>
    </row>
    <row r="229">
      <c r="A229" s="10"/>
      <c r="B229" s="5"/>
      <c r="H229" s="6"/>
      <c r="I229" s="7"/>
      <c r="J229" s="8"/>
      <c r="K229" s="6"/>
      <c r="L229" s="8"/>
      <c r="N229" s="8"/>
    </row>
    <row r="230">
      <c r="A230" s="10"/>
      <c r="B230" s="5"/>
      <c r="H230" s="6"/>
      <c r="I230" s="7"/>
      <c r="J230" s="8"/>
      <c r="K230" s="6"/>
      <c r="L230" s="8"/>
      <c r="N230" s="8"/>
    </row>
    <row r="231">
      <c r="A231" s="10"/>
      <c r="B231" s="5"/>
      <c r="H231" s="6"/>
      <c r="I231" s="7"/>
      <c r="J231" s="8"/>
      <c r="K231" s="6"/>
      <c r="L231" s="8"/>
      <c r="N231" s="8"/>
    </row>
    <row r="232">
      <c r="A232" s="10"/>
      <c r="B232" s="5"/>
      <c r="H232" s="6"/>
      <c r="I232" s="7"/>
      <c r="J232" s="8"/>
      <c r="K232" s="6"/>
      <c r="L232" s="8"/>
      <c r="N232" s="8"/>
    </row>
    <row r="233">
      <c r="A233" s="10"/>
      <c r="B233" s="5"/>
      <c r="H233" s="6"/>
      <c r="I233" s="7"/>
      <c r="J233" s="8"/>
      <c r="K233" s="6"/>
      <c r="L233" s="8"/>
      <c r="N233" s="8"/>
    </row>
    <row r="234">
      <c r="A234" s="10"/>
      <c r="B234" s="5"/>
      <c r="H234" s="6"/>
      <c r="I234" s="7"/>
      <c r="J234" s="8"/>
      <c r="K234" s="6"/>
      <c r="L234" s="8"/>
      <c r="N234" s="8"/>
    </row>
    <row r="235">
      <c r="A235" s="10"/>
      <c r="B235" s="5"/>
      <c r="H235" s="6"/>
      <c r="I235" s="7"/>
      <c r="J235" s="8"/>
      <c r="K235" s="6"/>
      <c r="L235" s="8"/>
      <c r="N235" s="8"/>
    </row>
    <row r="236">
      <c r="A236" s="10"/>
      <c r="B236" s="5"/>
      <c r="H236" s="6"/>
      <c r="I236" s="7"/>
      <c r="J236" s="8"/>
      <c r="K236" s="6"/>
      <c r="L236" s="8"/>
      <c r="N236" s="8"/>
    </row>
    <row r="237">
      <c r="A237" s="10"/>
      <c r="B237" s="5"/>
      <c r="H237" s="6"/>
      <c r="I237" s="7"/>
      <c r="J237" s="8"/>
      <c r="K237" s="6"/>
      <c r="L237" s="8"/>
      <c r="N237" s="8"/>
    </row>
    <row r="238">
      <c r="A238" s="10"/>
      <c r="B238" s="5"/>
      <c r="H238" s="6"/>
      <c r="I238" s="7"/>
      <c r="J238" s="8"/>
      <c r="K238" s="6"/>
      <c r="L238" s="8"/>
      <c r="N238" s="8"/>
    </row>
    <row r="239">
      <c r="A239" s="10"/>
      <c r="B239" s="5"/>
      <c r="H239" s="6"/>
      <c r="I239" s="7"/>
      <c r="J239" s="8"/>
      <c r="K239" s="6"/>
      <c r="L239" s="8"/>
      <c r="N239" s="8"/>
    </row>
    <row r="240">
      <c r="A240" s="10"/>
      <c r="B240" s="5"/>
      <c r="H240" s="6"/>
      <c r="I240" s="7"/>
      <c r="J240" s="8"/>
      <c r="K240" s="6"/>
      <c r="L240" s="8"/>
      <c r="N240" s="8"/>
    </row>
    <row r="241">
      <c r="A241" s="10"/>
      <c r="B241" s="5"/>
      <c r="H241" s="6"/>
      <c r="I241" s="7"/>
      <c r="J241" s="8"/>
      <c r="K241" s="6"/>
      <c r="L241" s="8"/>
      <c r="N241" s="8"/>
    </row>
    <row r="242">
      <c r="A242" s="10"/>
      <c r="B242" s="5"/>
      <c r="H242" s="6"/>
      <c r="I242" s="7"/>
      <c r="J242" s="8"/>
      <c r="K242" s="6"/>
      <c r="L242" s="8"/>
      <c r="N242" s="8"/>
    </row>
    <row r="243">
      <c r="A243" s="10"/>
      <c r="B243" s="5"/>
      <c r="H243" s="6"/>
      <c r="I243" s="7"/>
      <c r="J243" s="8"/>
      <c r="K243" s="6"/>
      <c r="L243" s="8"/>
      <c r="N243" s="8"/>
    </row>
    <row r="244">
      <c r="A244" s="10"/>
      <c r="B244" s="5"/>
      <c r="H244" s="6"/>
      <c r="I244" s="7"/>
      <c r="J244" s="8"/>
      <c r="K244" s="6"/>
      <c r="L244" s="8"/>
      <c r="N244" s="8"/>
    </row>
    <row r="245">
      <c r="A245" s="10"/>
      <c r="B245" s="5"/>
      <c r="H245" s="6"/>
      <c r="I245" s="7"/>
      <c r="J245" s="8"/>
      <c r="K245" s="6"/>
      <c r="L245" s="8"/>
      <c r="N245" s="8"/>
    </row>
    <row r="246">
      <c r="A246" s="10"/>
      <c r="B246" s="5"/>
      <c r="H246" s="6"/>
      <c r="I246" s="7"/>
      <c r="J246" s="8"/>
      <c r="K246" s="6"/>
      <c r="L246" s="8"/>
      <c r="N246" s="8"/>
    </row>
    <row r="247">
      <c r="A247" s="10"/>
      <c r="B247" s="5"/>
      <c r="H247" s="6"/>
      <c r="I247" s="7"/>
      <c r="J247" s="8"/>
      <c r="K247" s="6"/>
      <c r="L247" s="8"/>
      <c r="N247" s="8"/>
    </row>
    <row r="248">
      <c r="A248" s="10"/>
      <c r="B248" s="5"/>
      <c r="H248" s="6"/>
      <c r="I248" s="7"/>
      <c r="J248" s="8"/>
      <c r="K248" s="6"/>
      <c r="L248" s="8"/>
      <c r="N248" s="8"/>
    </row>
    <row r="249">
      <c r="A249" s="10"/>
      <c r="B249" s="5"/>
      <c r="H249" s="6"/>
      <c r="I249" s="7"/>
      <c r="J249" s="8"/>
      <c r="K249" s="6"/>
      <c r="L249" s="8"/>
      <c r="N249" s="8"/>
    </row>
    <row r="250">
      <c r="A250" s="10"/>
      <c r="B250" s="5"/>
      <c r="H250" s="6"/>
      <c r="I250" s="7"/>
      <c r="J250" s="8"/>
      <c r="K250" s="6"/>
      <c r="L250" s="8"/>
      <c r="N250" s="8"/>
    </row>
    <row r="251">
      <c r="A251" s="10"/>
      <c r="B251" s="5"/>
      <c r="H251" s="6"/>
      <c r="I251" s="7"/>
      <c r="J251" s="8"/>
      <c r="K251" s="6"/>
      <c r="L251" s="8"/>
      <c r="N251" s="8"/>
    </row>
    <row r="252">
      <c r="A252" s="10"/>
      <c r="B252" s="5"/>
      <c r="H252" s="6"/>
      <c r="I252" s="7"/>
      <c r="J252" s="8"/>
      <c r="K252" s="6"/>
      <c r="L252" s="8"/>
      <c r="N252" s="8"/>
    </row>
    <row r="253">
      <c r="A253" s="10"/>
      <c r="B253" s="5"/>
      <c r="H253" s="6"/>
      <c r="I253" s="7"/>
      <c r="J253" s="8"/>
      <c r="K253" s="6"/>
      <c r="L253" s="8"/>
      <c r="N253" s="8"/>
    </row>
    <row r="254">
      <c r="A254" s="10"/>
      <c r="B254" s="5"/>
      <c r="H254" s="6"/>
      <c r="I254" s="7"/>
      <c r="J254" s="8"/>
      <c r="K254" s="6"/>
      <c r="L254" s="8"/>
      <c r="N254" s="8"/>
    </row>
    <row r="255">
      <c r="A255" s="10"/>
      <c r="B255" s="5"/>
      <c r="H255" s="6"/>
      <c r="I255" s="7"/>
      <c r="J255" s="8"/>
      <c r="K255" s="6"/>
      <c r="L255" s="8"/>
      <c r="N255" s="8"/>
    </row>
    <row r="256">
      <c r="A256" s="10"/>
      <c r="B256" s="5"/>
      <c r="H256" s="6"/>
      <c r="I256" s="7"/>
      <c r="J256" s="8"/>
      <c r="K256" s="6"/>
      <c r="L256" s="8"/>
      <c r="N256" s="8"/>
    </row>
    <row r="257">
      <c r="A257" s="10"/>
      <c r="B257" s="5"/>
      <c r="H257" s="6"/>
      <c r="I257" s="7"/>
      <c r="J257" s="8"/>
      <c r="K257" s="6"/>
      <c r="L257" s="8"/>
      <c r="N257" s="8"/>
    </row>
    <row r="258">
      <c r="A258" s="10"/>
      <c r="B258" s="5"/>
      <c r="H258" s="6"/>
      <c r="I258" s="7"/>
      <c r="J258" s="8"/>
      <c r="K258" s="6"/>
      <c r="L258" s="8"/>
      <c r="N258" s="8"/>
    </row>
    <row r="259">
      <c r="A259" s="10"/>
      <c r="B259" s="5"/>
      <c r="H259" s="6"/>
      <c r="I259" s="7"/>
      <c r="J259" s="8"/>
      <c r="K259" s="6"/>
      <c r="L259" s="8"/>
      <c r="N259" s="8"/>
    </row>
    <row r="260">
      <c r="A260" s="10"/>
      <c r="B260" s="5"/>
      <c r="H260" s="6"/>
      <c r="I260" s="7"/>
      <c r="J260" s="8"/>
      <c r="K260" s="6"/>
      <c r="L260" s="8"/>
      <c r="N260" s="8"/>
    </row>
    <row r="261">
      <c r="A261" s="10"/>
      <c r="B261" s="5"/>
      <c r="H261" s="6"/>
      <c r="I261" s="7"/>
      <c r="J261" s="8"/>
      <c r="K261" s="6"/>
      <c r="L261" s="8"/>
      <c r="N261" s="8"/>
    </row>
    <row r="262">
      <c r="A262" s="10"/>
      <c r="B262" s="5"/>
      <c r="H262" s="6"/>
      <c r="I262" s="7"/>
      <c r="J262" s="8"/>
      <c r="K262" s="6"/>
      <c r="L262" s="8"/>
      <c r="N262" s="8"/>
    </row>
    <row r="263">
      <c r="A263" s="10"/>
      <c r="B263" s="5"/>
      <c r="H263" s="6"/>
      <c r="I263" s="7"/>
      <c r="J263" s="8"/>
      <c r="K263" s="6"/>
      <c r="L263" s="8"/>
      <c r="N263" s="8"/>
    </row>
    <row r="264">
      <c r="A264" s="10"/>
      <c r="B264" s="5"/>
      <c r="H264" s="6"/>
      <c r="I264" s="7"/>
      <c r="J264" s="8"/>
      <c r="K264" s="6"/>
      <c r="L264" s="8"/>
      <c r="N264" s="8"/>
    </row>
    <row r="265">
      <c r="A265" s="10"/>
      <c r="B265" s="5"/>
      <c r="H265" s="6"/>
      <c r="I265" s="7"/>
      <c r="J265" s="8"/>
      <c r="K265" s="6"/>
      <c r="L265" s="8"/>
      <c r="N265" s="8"/>
    </row>
    <row r="266">
      <c r="A266" s="10"/>
      <c r="B266" s="5"/>
      <c r="H266" s="6"/>
      <c r="I266" s="7"/>
      <c r="J266" s="8"/>
      <c r="K266" s="6"/>
      <c r="L266" s="8"/>
      <c r="N266" s="8"/>
    </row>
    <row r="267">
      <c r="A267" s="10"/>
      <c r="B267" s="5"/>
      <c r="H267" s="6"/>
      <c r="I267" s="7"/>
      <c r="J267" s="8"/>
      <c r="K267" s="6"/>
      <c r="L267" s="8"/>
      <c r="N267" s="8"/>
    </row>
    <row r="268">
      <c r="A268" s="10"/>
      <c r="B268" s="5"/>
      <c r="H268" s="6"/>
      <c r="I268" s="7"/>
      <c r="J268" s="8"/>
      <c r="K268" s="6"/>
      <c r="L268" s="8"/>
      <c r="N268" s="8"/>
    </row>
    <row r="269">
      <c r="A269" s="10"/>
      <c r="B269" s="5"/>
      <c r="H269" s="6"/>
      <c r="I269" s="7"/>
      <c r="J269" s="8"/>
      <c r="K269" s="6"/>
      <c r="L269" s="8"/>
      <c r="N269" s="8"/>
    </row>
    <row r="270">
      <c r="A270" s="10"/>
      <c r="B270" s="5"/>
      <c r="H270" s="6"/>
      <c r="I270" s="7"/>
      <c r="J270" s="8"/>
      <c r="K270" s="6"/>
      <c r="L270" s="8"/>
      <c r="N270" s="8"/>
    </row>
    <row r="271">
      <c r="A271" s="10"/>
      <c r="B271" s="5"/>
      <c r="H271" s="6"/>
      <c r="I271" s="7"/>
      <c r="J271" s="8"/>
      <c r="K271" s="6"/>
      <c r="L271" s="8"/>
      <c r="N271" s="8"/>
    </row>
    <row r="272">
      <c r="A272" s="10"/>
      <c r="B272" s="5"/>
      <c r="H272" s="6"/>
      <c r="I272" s="7"/>
      <c r="J272" s="8"/>
      <c r="K272" s="6"/>
      <c r="L272" s="8"/>
      <c r="N272" s="8"/>
    </row>
    <row r="273">
      <c r="A273" s="10"/>
      <c r="B273" s="5"/>
      <c r="H273" s="6"/>
      <c r="I273" s="7"/>
      <c r="J273" s="8"/>
      <c r="K273" s="6"/>
      <c r="L273" s="8"/>
      <c r="N273" s="8"/>
    </row>
    <row r="274">
      <c r="A274" s="10"/>
      <c r="B274" s="5"/>
      <c r="H274" s="6"/>
      <c r="I274" s="7"/>
      <c r="J274" s="8"/>
      <c r="K274" s="6"/>
      <c r="L274" s="8"/>
      <c r="N274" s="8"/>
    </row>
    <row r="275">
      <c r="A275" s="10"/>
      <c r="B275" s="5"/>
      <c r="H275" s="6"/>
      <c r="I275" s="7"/>
      <c r="J275" s="8"/>
      <c r="K275" s="6"/>
      <c r="L275" s="8"/>
      <c r="N275" s="8"/>
    </row>
    <row r="276">
      <c r="A276" s="10"/>
      <c r="B276" s="5"/>
      <c r="H276" s="6"/>
      <c r="I276" s="7"/>
      <c r="J276" s="8"/>
      <c r="K276" s="6"/>
      <c r="L276" s="8"/>
      <c r="N276" s="8"/>
    </row>
    <row r="277">
      <c r="A277" s="10"/>
      <c r="B277" s="5"/>
      <c r="H277" s="6"/>
      <c r="I277" s="7"/>
      <c r="J277" s="8"/>
      <c r="K277" s="6"/>
      <c r="L277" s="8"/>
      <c r="N277" s="8"/>
    </row>
    <row r="278">
      <c r="A278" s="10"/>
      <c r="B278" s="5"/>
      <c r="H278" s="6"/>
      <c r="I278" s="7"/>
      <c r="J278" s="8"/>
      <c r="K278" s="6"/>
      <c r="L278" s="8"/>
      <c r="N278" s="8"/>
    </row>
    <row r="279">
      <c r="A279" s="10"/>
      <c r="B279" s="5"/>
      <c r="H279" s="6"/>
      <c r="I279" s="7"/>
      <c r="J279" s="8"/>
      <c r="K279" s="6"/>
      <c r="L279" s="8"/>
      <c r="N279" s="8"/>
    </row>
    <row r="280">
      <c r="A280" s="10"/>
      <c r="B280" s="5"/>
      <c r="H280" s="6"/>
      <c r="I280" s="7"/>
      <c r="J280" s="8"/>
      <c r="K280" s="6"/>
      <c r="L280" s="8"/>
      <c r="N280" s="8"/>
    </row>
    <row r="281">
      <c r="A281" s="10"/>
      <c r="B281" s="5"/>
      <c r="H281" s="6"/>
      <c r="I281" s="7"/>
      <c r="J281" s="8"/>
      <c r="K281" s="6"/>
      <c r="L281" s="8"/>
      <c r="N281" s="8"/>
    </row>
    <row r="282">
      <c r="A282" s="10"/>
      <c r="B282" s="5"/>
      <c r="H282" s="6"/>
      <c r="I282" s="7"/>
      <c r="J282" s="8"/>
      <c r="K282" s="6"/>
      <c r="L282" s="8"/>
      <c r="N282" s="8"/>
    </row>
    <row r="283">
      <c r="A283" s="10"/>
      <c r="B283" s="5"/>
      <c r="H283" s="6"/>
      <c r="I283" s="7"/>
      <c r="J283" s="8"/>
      <c r="K283" s="6"/>
      <c r="L283" s="8"/>
      <c r="N283" s="8"/>
    </row>
    <row r="284">
      <c r="A284" s="10"/>
      <c r="B284" s="5"/>
      <c r="H284" s="6"/>
      <c r="I284" s="7"/>
      <c r="J284" s="8"/>
      <c r="K284" s="6"/>
      <c r="L284" s="8"/>
      <c r="N284" s="8"/>
    </row>
    <row r="285">
      <c r="A285" s="10"/>
      <c r="B285" s="5"/>
      <c r="H285" s="6"/>
      <c r="I285" s="7"/>
      <c r="J285" s="8"/>
      <c r="K285" s="6"/>
      <c r="L285" s="8"/>
      <c r="N285" s="8"/>
    </row>
    <row r="286">
      <c r="A286" s="10"/>
      <c r="B286" s="5"/>
      <c r="H286" s="6"/>
      <c r="I286" s="7"/>
      <c r="J286" s="8"/>
      <c r="K286" s="6"/>
      <c r="L286" s="8"/>
      <c r="N286" s="8"/>
    </row>
    <row r="287">
      <c r="A287" s="10"/>
      <c r="B287" s="5"/>
      <c r="H287" s="6"/>
      <c r="I287" s="7"/>
      <c r="J287" s="8"/>
      <c r="K287" s="6"/>
      <c r="L287" s="8"/>
      <c r="N287" s="8"/>
    </row>
    <row r="288">
      <c r="A288" s="10"/>
      <c r="B288" s="5"/>
      <c r="H288" s="6"/>
      <c r="I288" s="7"/>
      <c r="J288" s="8"/>
      <c r="K288" s="6"/>
      <c r="L288" s="8"/>
      <c r="N288" s="8"/>
    </row>
    <row r="289">
      <c r="A289" s="10"/>
      <c r="B289" s="5"/>
      <c r="H289" s="6"/>
      <c r="I289" s="7"/>
      <c r="J289" s="8"/>
      <c r="K289" s="6"/>
      <c r="L289" s="8"/>
      <c r="N289" s="8"/>
    </row>
    <row r="290">
      <c r="A290" s="10"/>
      <c r="B290" s="5"/>
      <c r="H290" s="6"/>
      <c r="I290" s="7"/>
      <c r="J290" s="8"/>
      <c r="K290" s="6"/>
      <c r="L290" s="8"/>
      <c r="N290" s="8"/>
    </row>
    <row r="291">
      <c r="A291" s="10"/>
      <c r="B291" s="5"/>
      <c r="H291" s="6"/>
      <c r="I291" s="7"/>
      <c r="J291" s="8"/>
      <c r="K291" s="6"/>
      <c r="L291" s="8"/>
      <c r="N291" s="8"/>
    </row>
    <row r="292">
      <c r="A292" s="10"/>
      <c r="B292" s="5"/>
      <c r="H292" s="6"/>
      <c r="I292" s="7"/>
      <c r="J292" s="8"/>
      <c r="K292" s="6"/>
      <c r="L292" s="8"/>
      <c r="N292" s="8"/>
    </row>
    <row r="293">
      <c r="A293" s="10"/>
      <c r="B293" s="5"/>
      <c r="H293" s="6"/>
      <c r="I293" s="7"/>
      <c r="J293" s="8"/>
      <c r="K293" s="6"/>
      <c r="L293" s="8"/>
      <c r="N293" s="8"/>
    </row>
    <row r="294">
      <c r="A294" s="10"/>
      <c r="B294" s="5"/>
      <c r="H294" s="6"/>
      <c r="I294" s="7"/>
      <c r="J294" s="8"/>
      <c r="K294" s="6"/>
      <c r="L294" s="8"/>
      <c r="N294" s="8"/>
    </row>
    <row r="295">
      <c r="A295" s="10"/>
      <c r="B295" s="5"/>
      <c r="H295" s="6"/>
      <c r="I295" s="7"/>
      <c r="J295" s="8"/>
      <c r="K295" s="6"/>
      <c r="L295" s="8"/>
      <c r="N295" s="8"/>
    </row>
    <row r="296">
      <c r="A296" s="10"/>
      <c r="B296" s="5"/>
      <c r="H296" s="6"/>
      <c r="I296" s="7"/>
      <c r="J296" s="8"/>
      <c r="K296" s="6"/>
      <c r="L296" s="8"/>
      <c r="N296" s="8"/>
    </row>
    <row r="297">
      <c r="A297" s="10"/>
      <c r="B297" s="5"/>
      <c r="H297" s="6"/>
      <c r="I297" s="7"/>
      <c r="J297" s="8"/>
      <c r="K297" s="6"/>
      <c r="L297" s="8"/>
      <c r="N297" s="8"/>
    </row>
    <row r="298">
      <c r="A298" s="10"/>
      <c r="B298" s="5"/>
      <c r="H298" s="6"/>
      <c r="I298" s="7"/>
      <c r="J298" s="8"/>
      <c r="K298" s="6"/>
      <c r="L298" s="8"/>
      <c r="N298" s="8"/>
    </row>
    <row r="299">
      <c r="A299" s="10"/>
      <c r="B299" s="5"/>
      <c r="H299" s="6"/>
      <c r="I299" s="7"/>
      <c r="J299" s="8"/>
      <c r="K299" s="6"/>
      <c r="L299" s="8"/>
      <c r="N299" s="8"/>
    </row>
    <row r="300">
      <c r="A300" s="10"/>
      <c r="B300" s="5"/>
      <c r="H300" s="6"/>
      <c r="I300" s="7"/>
      <c r="J300" s="8"/>
      <c r="K300" s="6"/>
      <c r="L300" s="8"/>
      <c r="N300" s="8"/>
    </row>
    <row r="301">
      <c r="A301" s="10"/>
      <c r="B301" s="5"/>
      <c r="H301" s="6"/>
      <c r="I301" s="7"/>
      <c r="J301" s="8"/>
      <c r="K301" s="6"/>
      <c r="L301" s="8"/>
      <c r="N301" s="8"/>
    </row>
    <row r="302">
      <c r="A302" s="10"/>
      <c r="B302" s="5"/>
      <c r="H302" s="6"/>
      <c r="I302" s="7"/>
      <c r="J302" s="8"/>
      <c r="K302" s="6"/>
      <c r="L302" s="8"/>
      <c r="N302" s="8"/>
    </row>
    <row r="303">
      <c r="A303" s="10"/>
      <c r="B303" s="5"/>
      <c r="H303" s="6"/>
      <c r="I303" s="7"/>
      <c r="J303" s="8"/>
      <c r="K303" s="6"/>
      <c r="L303" s="8"/>
      <c r="N303" s="8"/>
    </row>
    <row r="304">
      <c r="A304" s="10"/>
      <c r="B304" s="5"/>
      <c r="H304" s="6"/>
      <c r="I304" s="7"/>
      <c r="J304" s="8"/>
      <c r="K304" s="6"/>
      <c r="L304" s="8"/>
      <c r="N304" s="8"/>
    </row>
    <row r="305">
      <c r="A305" s="10"/>
      <c r="B305" s="5"/>
      <c r="H305" s="6"/>
      <c r="I305" s="7"/>
      <c r="J305" s="8"/>
      <c r="K305" s="6"/>
      <c r="L305" s="8"/>
      <c r="N305" s="8"/>
    </row>
    <row r="306">
      <c r="A306" s="10"/>
      <c r="B306" s="5"/>
      <c r="H306" s="6"/>
      <c r="I306" s="7"/>
      <c r="J306" s="8"/>
      <c r="K306" s="6"/>
      <c r="L306" s="8"/>
      <c r="N306" s="8"/>
    </row>
    <row r="307">
      <c r="A307" s="10"/>
      <c r="B307" s="5"/>
      <c r="H307" s="6"/>
      <c r="I307" s="7"/>
      <c r="J307" s="8"/>
      <c r="K307" s="6"/>
      <c r="L307" s="8"/>
      <c r="N307" s="8"/>
    </row>
    <row r="308">
      <c r="A308" s="10"/>
      <c r="B308" s="5"/>
      <c r="H308" s="6"/>
      <c r="I308" s="7"/>
      <c r="J308" s="8"/>
      <c r="K308" s="6"/>
      <c r="L308" s="8"/>
      <c r="N308" s="8"/>
    </row>
    <row r="309">
      <c r="A309" s="10"/>
      <c r="B309" s="5"/>
      <c r="H309" s="6"/>
      <c r="I309" s="7"/>
      <c r="J309" s="8"/>
      <c r="K309" s="6"/>
      <c r="L309" s="8"/>
      <c r="N309" s="8"/>
    </row>
    <row r="310">
      <c r="A310" s="10"/>
      <c r="B310" s="5"/>
      <c r="H310" s="6"/>
      <c r="I310" s="7"/>
      <c r="J310" s="8"/>
      <c r="K310" s="6"/>
      <c r="L310" s="8"/>
      <c r="N310" s="8"/>
    </row>
    <row r="311">
      <c r="A311" s="10"/>
      <c r="B311" s="5"/>
      <c r="H311" s="6"/>
      <c r="I311" s="7"/>
      <c r="J311" s="8"/>
      <c r="K311" s="6"/>
      <c r="L311" s="8"/>
      <c r="N311" s="8"/>
    </row>
    <row r="312">
      <c r="A312" s="10"/>
      <c r="B312" s="5"/>
      <c r="H312" s="6"/>
      <c r="I312" s="7"/>
      <c r="J312" s="8"/>
      <c r="K312" s="6"/>
      <c r="L312" s="8"/>
      <c r="N312" s="8"/>
    </row>
    <row r="313">
      <c r="A313" s="10"/>
      <c r="B313" s="5"/>
      <c r="H313" s="6"/>
      <c r="I313" s="7"/>
      <c r="J313" s="8"/>
      <c r="K313" s="6"/>
      <c r="L313" s="8"/>
      <c r="N313" s="8"/>
    </row>
    <row r="314">
      <c r="A314" s="10"/>
      <c r="B314" s="5"/>
      <c r="H314" s="6"/>
      <c r="I314" s="7"/>
      <c r="J314" s="8"/>
      <c r="K314" s="6"/>
      <c r="L314" s="8"/>
      <c r="N314" s="8"/>
    </row>
    <row r="315">
      <c r="A315" s="10"/>
      <c r="B315" s="5"/>
      <c r="H315" s="6"/>
      <c r="I315" s="7"/>
      <c r="J315" s="8"/>
      <c r="K315" s="6"/>
      <c r="L315" s="8"/>
      <c r="N315" s="8"/>
    </row>
    <row r="316">
      <c r="A316" s="10"/>
      <c r="B316" s="5"/>
      <c r="H316" s="6"/>
      <c r="I316" s="7"/>
      <c r="J316" s="8"/>
      <c r="K316" s="6"/>
      <c r="L316" s="8"/>
      <c r="N316" s="8"/>
    </row>
    <row r="317">
      <c r="A317" s="10"/>
      <c r="B317" s="5"/>
      <c r="H317" s="6"/>
      <c r="I317" s="7"/>
      <c r="J317" s="8"/>
      <c r="K317" s="6"/>
      <c r="L317" s="8"/>
      <c r="N317" s="8"/>
    </row>
    <row r="318">
      <c r="A318" s="10"/>
      <c r="B318" s="5"/>
      <c r="H318" s="6"/>
      <c r="I318" s="7"/>
      <c r="J318" s="8"/>
      <c r="K318" s="6"/>
      <c r="L318" s="8"/>
      <c r="N318" s="8"/>
    </row>
    <row r="319">
      <c r="A319" s="10"/>
      <c r="B319" s="5"/>
      <c r="H319" s="6"/>
      <c r="I319" s="7"/>
      <c r="J319" s="8"/>
      <c r="K319" s="6"/>
      <c r="L319" s="8"/>
      <c r="N319" s="8"/>
    </row>
    <row r="320">
      <c r="A320" s="10"/>
      <c r="B320" s="5"/>
      <c r="H320" s="6"/>
      <c r="I320" s="7"/>
      <c r="J320" s="8"/>
      <c r="K320" s="6"/>
      <c r="L320" s="8"/>
      <c r="N320" s="8"/>
    </row>
    <row r="321">
      <c r="A321" s="10"/>
      <c r="B321" s="5"/>
      <c r="H321" s="6"/>
      <c r="I321" s="7"/>
      <c r="J321" s="8"/>
      <c r="K321" s="6"/>
      <c r="L321" s="8"/>
      <c r="N321" s="8"/>
    </row>
    <row r="322">
      <c r="A322" s="10"/>
      <c r="B322" s="5"/>
      <c r="H322" s="6"/>
      <c r="I322" s="7"/>
      <c r="J322" s="8"/>
      <c r="K322" s="6"/>
      <c r="L322" s="8"/>
      <c r="N322" s="8"/>
    </row>
    <row r="323">
      <c r="A323" s="10"/>
      <c r="B323" s="5"/>
      <c r="H323" s="6"/>
      <c r="I323" s="7"/>
      <c r="J323" s="8"/>
      <c r="K323" s="6"/>
      <c r="L323" s="8"/>
      <c r="N323" s="8"/>
    </row>
    <row r="324">
      <c r="A324" s="10"/>
      <c r="B324" s="5"/>
      <c r="H324" s="6"/>
      <c r="I324" s="7"/>
      <c r="J324" s="8"/>
      <c r="K324" s="6"/>
      <c r="L324" s="8"/>
      <c r="N324" s="8"/>
    </row>
    <row r="325">
      <c r="A325" s="10"/>
      <c r="B325" s="5"/>
      <c r="H325" s="6"/>
      <c r="I325" s="7"/>
      <c r="J325" s="8"/>
      <c r="K325" s="6"/>
      <c r="L325" s="8"/>
      <c r="N325" s="8"/>
    </row>
    <row r="326">
      <c r="A326" s="10"/>
      <c r="B326" s="5"/>
      <c r="H326" s="6"/>
      <c r="I326" s="7"/>
      <c r="J326" s="8"/>
      <c r="K326" s="6"/>
      <c r="L326" s="8"/>
      <c r="N326" s="8"/>
    </row>
    <row r="327">
      <c r="A327" s="10"/>
      <c r="B327" s="5"/>
      <c r="H327" s="6"/>
      <c r="I327" s="7"/>
      <c r="J327" s="8"/>
      <c r="K327" s="6"/>
      <c r="L327" s="8"/>
      <c r="N327" s="8"/>
    </row>
    <row r="328">
      <c r="A328" s="10"/>
      <c r="B328" s="5"/>
      <c r="H328" s="6"/>
      <c r="I328" s="7"/>
      <c r="J328" s="8"/>
      <c r="K328" s="6"/>
      <c r="L328" s="8"/>
      <c r="N328" s="8"/>
    </row>
    <row r="329">
      <c r="A329" s="10"/>
      <c r="B329" s="5"/>
      <c r="H329" s="6"/>
      <c r="I329" s="7"/>
      <c r="J329" s="8"/>
      <c r="K329" s="6"/>
      <c r="L329" s="8"/>
      <c r="N329" s="8"/>
    </row>
    <row r="330">
      <c r="A330" s="10"/>
      <c r="B330" s="5"/>
      <c r="H330" s="6"/>
      <c r="I330" s="7"/>
      <c r="J330" s="8"/>
      <c r="K330" s="6"/>
      <c r="L330" s="8"/>
      <c r="N330" s="8"/>
    </row>
    <row r="331">
      <c r="A331" s="10"/>
      <c r="B331" s="5"/>
      <c r="H331" s="6"/>
      <c r="I331" s="7"/>
      <c r="J331" s="8"/>
      <c r="K331" s="6"/>
      <c r="L331" s="8"/>
      <c r="N331" s="8"/>
    </row>
    <row r="332">
      <c r="A332" s="10"/>
      <c r="B332" s="5"/>
      <c r="H332" s="6"/>
      <c r="I332" s="7"/>
      <c r="J332" s="8"/>
      <c r="K332" s="6"/>
      <c r="L332" s="8"/>
      <c r="N332" s="8"/>
    </row>
    <row r="333">
      <c r="A333" s="10"/>
      <c r="B333" s="5"/>
      <c r="H333" s="6"/>
      <c r="I333" s="7"/>
      <c r="J333" s="8"/>
      <c r="K333" s="6"/>
      <c r="L333" s="8"/>
      <c r="N333" s="8"/>
    </row>
    <row r="334">
      <c r="A334" s="10"/>
      <c r="B334" s="5"/>
      <c r="H334" s="6"/>
      <c r="I334" s="7"/>
      <c r="J334" s="8"/>
      <c r="K334" s="6"/>
      <c r="L334" s="8"/>
      <c r="N334" s="8"/>
    </row>
    <row r="335">
      <c r="A335" s="10"/>
      <c r="B335" s="5"/>
      <c r="H335" s="6"/>
      <c r="I335" s="7"/>
      <c r="J335" s="8"/>
      <c r="K335" s="6"/>
      <c r="L335" s="8"/>
      <c r="N335" s="8"/>
    </row>
    <row r="336">
      <c r="A336" s="10"/>
      <c r="B336" s="5"/>
      <c r="H336" s="6"/>
      <c r="I336" s="7"/>
      <c r="J336" s="8"/>
      <c r="K336" s="6"/>
      <c r="L336" s="8"/>
      <c r="N336" s="8"/>
    </row>
    <row r="337">
      <c r="A337" s="10"/>
      <c r="B337" s="5"/>
      <c r="H337" s="6"/>
      <c r="I337" s="7"/>
      <c r="J337" s="8"/>
      <c r="K337" s="6"/>
      <c r="L337" s="8"/>
      <c r="N337" s="8"/>
    </row>
    <row r="338">
      <c r="A338" s="10"/>
      <c r="B338" s="5"/>
      <c r="H338" s="6"/>
      <c r="I338" s="7"/>
      <c r="J338" s="8"/>
      <c r="K338" s="6"/>
      <c r="L338" s="8"/>
      <c r="N338" s="8"/>
    </row>
    <row r="339">
      <c r="A339" s="10"/>
      <c r="B339" s="5"/>
      <c r="H339" s="6"/>
      <c r="I339" s="7"/>
      <c r="J339" s="8"/>
      <c r="K339" s="6"/>
      <c r="L339" s="8"/>
      <c r="N339" s="8"/>
    </row>
    <row r="340">
      <c r="A340" s="10"/>
      <c r="B340" s="5"/>
      <c r="H340" s="6"/>
      <c r="I340" s="7"/>
      <c r="J340" s="8"/>
      <c r="K340" s="6"/>
      <c r="L340" s="8"/>
      <c r="N340" s="8"/>
    </row>
    <row r="341">
      <c r="A341" s="10"/>
      <c r="B341" s="5"/>
      <c r="H341" s="6"/>
      <c r="I341" s="7"/>
      <c r="J341" s="8"/>
      <c r="K341" s="6"/>
      <c r="L341" s="8"/>
      <c r="N341" s="8"/>
    </row>
    <row r="342">
      <c r="A342" s="10"/>
      <c r="B342" s="5"/>
      <c r="H342" s="6"/>
      <c r="I342" s="7"/>
      <c r="J342" s="8"/>
      <c r="K342" s="6"/>
      <c r="L342" s="8"/>
      <c r="N342" s="8"/>
    </row>
    <row r="343">
      <c r="A343" s="10"/>
      <c r="B343" s="5"/>
      <c r="H343" s="6"/>
      <c r="I343" s="7"/>
      <c r="J343" s="8"/>
      <c r="K343" s="6"/>
      <c r="L343" s="8"/>
      <c r="N343" s="8"/>
    </row>
    <row r="344">
      <c r="A344" s="10"/>
      <c r="B344" s="5"/>
      <c r="H344" s="6"/>
      <c r="I344" s="7"/>
      <c r="J344" s="8"/>
      <c r="K344" s="6"/>
      <c r="L344" s="8"/>
      <c r="N344" s="8"/>
    </row>
    <row r="345">
      <c r="A345" s="10"/>
      <c r="B345" s="5"/>
      <c r="H345" s="6"/>
      <c r="I345" s="7"/>
      <c r="J345" s="8"/>
      <c r="K345" s="6"/>
      <c r="L345" s="8"/>
      <c r="N345" s="8"/>
    </row>
    <row r="346">
      <c r="A346" s="10"/>
      <c r="B346" s="5"/>
      <c r="H346" s="6"/>
      <c r="I346" s="7"/>
      <c r="J346" s="8"/>
      <c r="K346" s="6"/>
      <c r="L346" s="8"/>
      <c r="N346" s="8"/>
    </row>
    <row r="347">
      <c r="A347" s="10"/>
      <c r="B347" s="5"/>
      <c r="H347" s="6"/>
      <c r="I347" s="7"/>
      <c r="J347" s="8"/>
      <c r="K347" s="6"/>
      <c r="L347" s="8"/>
      <c r="N347" s="8"/>
    </row>
    <row r="348">
      <c r="A348" s="10"/>
      <c r="B348" s="5"/>
      <c r="H348" s="6"/>
      <c r="I348" s="7"/>
      <c r="J348" s="8"/>
      <c r="K348" s="6"/>
      <c r="L348" s="8"/>
      <c r="N348" s="8"/>
    </row>
    <row r="349">
      <c r="A349" s="10"/>
      <c r="B349" s="5"/>
      <c r="H349" s="6"/>
      <c r="I349" s="7"/>
      <c r="J349" s="8"/>
      <c r="K349" s="6"/>
      <c r="L349" s="8"/>
      <c r="N349" s="8"/>
    </row>
    <row r="350">
      <c r="A350" s="10"/>
      <c r="B350" s="5"/>
      <c r="H350" s="6"/>
      <c r="I350" s="7"/>
      <c r="J350" s="8"/>
      <c r="K350" s="6"/>
      <c r="L350" s="8"/>
      <c r="N350" s="8"/>
    </row>
    <row r="351">
      <c r="A351" s="10"/>
      <c r="B351" s="5"/>
      <c r="H351" s="6"/>
      <c r="I351" s="7"/>
      <c r="J351" s="8"/>
      <c r="K351" s="6"/>
      <c r="L351" s="8"/>
      <c r="N351" s="8"/>
    </row>
    <row r="352">
      <c r="A352" s="10"/>
      <c r="B352" s="5"/>
      <c r="H352" s="6"/>
      <c r="I352" s="7"/>
      <c r="J352" s="8"/>
      <c r="K352" s="6"/>
      <c r="L352" s="8"/>
      <c r="N352" s="8"/>
    </row>
    <row r="353">
      <c r="A353" s="10"/>
      <c r="B353" s="5"/>
      <c r="H353" s="6"/>
      <c r="I353" s="7"/>
      <c r="J353" s="8"/>
      <c r="K353" s="6"/>
      <c r="L353" s="8"/>
      <c r="N353" s="8"/>
    </row>
    <row r="354">
      <c r="A354" s="10"/>
      <c r="B354" s="5"/>
      <c r="H354" s="6"/>
      <c r="I354" s="7"/>
      <c r="J354" s="8"/>
      <c r="K354" s="6"/>
      <c r="L354" s="8"/>
      <c r="N354" s="8"/>
    </row>
    <row r="355">
      <c r="A355" s="10"/>
      <c r="B355" s="5"/>
      <c r="H355" s="6"/>
      <c r="I355" s="7"/>
      <c r="J355" s="8"/>
      <c r="K355" s="6"/>
      <c r="L355" s="8"/>
      <c r="N355" s="8"/>
    </row>
    <row r="356">
      <c r="A356" s="10"/>
      <c r="B356" s="5"/>
      <c r="H356" s="6"/>
      <c r="I356" s="7"/>
      <c r="J356" s="8"/>
      <c r="K356" s="6"/>
      <c r="L356" s="8"/>
      <c r="N356" s="8"/>
    </row>
    <row r="357">
      <c r="A357" s="10"/>
      <c r="B357" s="5"/>
      <c r="H357" s="6"/>
      <c r="I357" s="7"/>
      <c r="J357" s="8"/>
      <c r="K357" s="6"/>
      <c r="L357" s="8"/>
      <c r="N357" s="8"/>
    </row>
    <row r="358">
      <c r="A358" s="10"/>
      <c r="B358" s="5"/>
      <c r="H358" s="6"/>
      <c r="I358" s="7"/>
      <c r="J358" s="8"/>
      <c r="K358" s="6"/>
      <c r="L358" s="8"/>
      <c r="N358" s="8"/>
    </row>
    <row r="359">
      <c r="A359" s="10"/>
      <c r="B359" s="5"/>
      <c r="H359" s="6"/>
      <c r="I359" s="7"/>
      <c r="J359" s="8"/>
      <c r="K359" s="6"/>
      <c r="L359" s="8"/>
      <c r="N359" s="8"/>
    </row>
    <row r="360">
      <c r="A360" s="10"/>
      <c r="B360" s="5"/>
      <c r="H360" s="6"/>
      <c r="I360" s="7"/>
      <c r="J360" s="8"/>
      <c r="K360" s="6"/>
      <c r="L360" s="8"/>
      <c r="N360" s="8"/>
    </row>
    <row r="361">
      <c r="A361" s="10"/>
      <c r="B361" s="5"/>
      <c r="H361" s="6"/>
      <c r="I361" s="7"/>
      <c r="J361" s="8"/>
      <c r="K361" s="6"/>
      <c r="L361" s="8"/>
      <c r="N361" s="8"/>
    </row>
    <row r="362">
      <c r="A362" s="10"/>
      <c r="B362" s="5"/>
      <c r="H362" s="6"/>
      <c r="I362" s="7"/>
      <c r="J362" s="8"/>
      <c r="K362" s="6"/>
      <c r="L362" s="8"/>
      <c r="N362" s="8"/>
    </row>
    <row r="363">
      <c r="A363" s="10"/>
      <c r="B363" s="5"/>
      <c r="H363" s="6"/>
      <c r="I363" s="7"/>
      <c r="J363" s="8"/>
      <c r="K363" s="6"/>
      <c r="L363" s="8"/>
      <c r="N363" s="8"/>
    </row>
    <row r="364">
      <c r="A364" s="10"/>
      <c r="B364" s="5"/>
      <c r="H364" s="6"/>
      <c r="I364" s="7"/>
      <c r="J364" s="8"/>
      <c r="K364" s="6"/>
      <c r="L364" s="8"/>
      <c r="N364" s="8"/>
    </row>
    <row r="365">
      <c r="A365" s="10"/>
      <c r="B365" s="5"/>
      <c r="H365" s="6"/>
      <c r="I365" s="7"/>
      <c r="J365" s="8"/>
      <c r="K365" s="6"/>
      <c r="L365" s="8"/>
      <c r="N365" s="8"/>
    </row>
    <row r="366">
      <c r="A366" s="10"/>
      <c r="B366" s="5"/>
      <c r="H366" s="6"/>
      <c r="I366" s="7"/>
      <c r="J366" s="8"/>
      <c r="K366" s="6"/>
      <c r="L366" s="8"/>
      <c r="N366" s="8"/>
    </row>
    <row r="367">
      <c r="A367" s="10"/>
      <c r="B367" s="5"/>
      <c r="H367" s="6"/>
      <c r="I367" s="7"/>
      <c r="J367" s="8"/>
      <c r="K367" s="6"/>
      <c r="L367" s="8"/>
      <c r="N367" s="8"/>
    </row>
    <row r="368">
      <c r="A368" s="10"/>
      <c r="B368" s="5"/>
      <c r="H368" s="6"/>
      <c r="I368" s="7"/>
      <c r="J368" s="8"/>
      <c r="K368" s="6"/>
      <c r="L368" s="8"/>
      <c r="N368" s="8"/>
    </row>
    <row r="369">
      <c r="A369" s="10"/>
      <c r="B369" s="5"/>
      <c r="H369" s="6"/>
      <c r="I369" s="7"/>
      <c r="J369" s="8"/>
      <c r="K369" s="6"/>
      <c r="L369" s="8"/>
      <c r="N369" s="8"/>
    </row>
    <row r="370">
      <c r="A370" s="10"/>
      <c r="B370" s="5"/>
      <c r="H370" s="6"/>
      <c r="I370" s="7"/>
      <c r="J370" s="8"/>
      <c r="K370" s="6"/>
      <c r="L370" s="8"/>
      <c r="N370" s="8"/>
    </row>
    <row r="371">
      <c r="A371" s="10"/>
      <c r="B371" s="5"/>
      <c r="H371" s="6"/>
      <c r="I371" s="7"/>
      <c r="J371" s="8"/>
      <c r="K371" s="6"/>
      <c r="L371" s="8"/>
      <c r="N371" s="8"/>
    </row>
    <row r="372">
      <c r="A372" s="10"/>
      <c r="B372" s="5"/>
      <c r="H372" s="6"/>
      <c r="I372" s="7"/>
      <c r="J372" s="8"/>
      <c r="K372" s="6"/>
      <c r="L372" s="8"/>
      <c r="N372" s="8"/>
    </row>
    <row r="373">
      <c r="A373" s="10"/>
      <c r="B373" s="5"/>
      <c r="H373" s="6"/>
      <c r="I373" s="7"/>
      <c r="J373" s="8"/>
      <c r="K373" s="6"/>
      <c r="L373" s="8"/>
      <c r="N373" s="8"/>
    </row>
    <row r="374">
      <c r="A374" s="10"/>
      <c r="B374" s="5"/>
      <c r="H374" s="6"/>
      <c r="I374" s="7"/>
      <c r="J374" s="8"/>
      <c r="K374" s="6"/>
      <c r="L374" s="8"/>
      <c r="N374" s="8"/>
    </row>
    <row r="375">
      <c r="A375" s="10"/>
      <c r="B375" s="5"/>
      <c r="H375" s="6"/>
      <c r="I375" s="7"/>
      <c r="J375" s="8"/>
      <c r="K375" s="6"/>
      <c r="L375" s="8"/>
      <c r="N375" s="8"/>
    </row>
    <row r="376">
      <c r="A376" s="10"/>
      <c r="B376" s="5"/>
      <c r="H376" s="6"/>
      <c r="I376" s="7"/>
      <c r="J376" s="8"/>
      <c r="K376" s="6"/>
      <c r="L376" s="8"/>
      <c r="N376" s="8"/>
    </row>
    <row r="377">
      <c r="A377" s="10"/>
      <c r="B377" s="5"/>
      <c r="H377" s="6"/>
      <c r="I377" s="7"/>
      <c r="J377" s="8"/>
      <c r="K377" s="6"/>
      <c r="L377" s="8"/>
      <c r="N377" s="8"/>
    </row>
    <row r="378">
      <c r="A378" s="10"/>
      <c r="B378" s="5"/>
      <c r="H378" s="6"/>
      <c r="I378" s="7"/>
      <c r="J378" s="8"/>
      <c r="K378" s="6"/>
      <c r="L378" s="8"/>
      <c r="N378" s="8"/>
    </row>
    <row r="379">
      <c r="A379" s="10"/>
      <c r="B379" s="5"/>
      <c r="H379" s="6"/>
      <c r="I379" s="7"/>
      <c r="J379" s="8"/>
      <c r="K379" s="6"/>
      <c r="L379" s="8"/>
      <c r="N379" s="8"/>
    </row>
    <row r="380">
      <c r="A380" s="10"/>
      <c r="B380" s="5"/>
      <c r="H380" s="6"/>
      <c r="I380" s="7"/>
      <c r="J380" s="8"/>
      <c r="K380" s="6"/>
      <c r="L380" s="8"/>
      <c r="N380" s="8"/>
    </row>
    <row r="381">
      <c r="A381" s="10"/>
      <c r="B381" s="5"/>
      <c r="H381" s="6"/>
      <c r="I381" s="7"/>
      <c r="J381" s="8"/>
      <c r="K381" s="6"/>
      <c r="L381" s="8"/>
      <c r="N381" s="8"/>
    </row>
    <row r="382">
      <c r="A382" s="10"/>
      <c r="B382" s="5"/>
      <c r="H382" s="6"/>
      <c r="I382" s="7"/>
      <c r="J382" s="8"/>
      <c r="K382" s="6"/>
      <c r="L382" s="8"/>
      <c r="N382" s="8"/>
    </row>
    <row r="383">
      <c r="A383" s="10"/>
      <c r="B383" s="5"/>
      <c r="H383" s="6"/>
      <c r="I383" s="7"/>
      <c r="J383" s="8"/>
      <c r="K383" s="6"/>
      <c r="L383" s="8"/>
      <c r="N383" s="8"/>
    </row>
    <row r="384">
      <c r="A384" s="10"/>
      <c r="B384" s="5"/>
      <c r="H384" s="6"/>
      <c r="I384" s="7"/>
      <c r="J384" s="8"/>
      <c r="K384" s="6"/>
      <c r="L384" s="8"/>
      <c r="N384" s="8"/>
    </row>
    <row r="385">
      <c r="A385" s="10"/>
      <c r="B385" s="5"/>
      <c r="H385" s="6"/>
      <c r="I385" s="7"/>
      <c r="J385" s="8"/>
      <c r="K385" s="6"/>
      <c r="L385" s="8"/>
      <c r="N385" s="8"/>
    </row>
    <row r="386">
      <c r="A386" s="10"/>
      <c r="B386" s="5"/>
      <c r="H386" s="6"/>
      <c r="I386" s="7"/>
      <c r="J386" s="8"/>
      <c r="K386" s="6"/>
      <c r="L386" s="8"/>
      <c r="N386" s="8"/>
    </row>
    <row r="387">
      <c r="A387" s="10"/>
      <c r="B387" s="5"/>
      <c r="H387" s="6"/>
      <c r="I387" s="7"/>
      <c r="J387" s="8"/>
      <c r="K387" s="6"/>
      <c r="L387" s="8"/>
      <c r="N387" s="8"/>
    </row>
    <row r="388">
      <c r="A388" s="10"/>
      <c r="B388" s="5"/>
      <c r="H388" s="6"/>
      <c r="I388" s="7"/>
      <c r="J388" s="8"/>
      <c r="K388" s="6"/>
      <c r="L388" s="8"/>
      <c r="N388" s="8"/>
    </row>
    <row r="389">
      <c r="A389" s="10"/>
      <c r="B389" s="5"/>
      <c r="H389" s="6"/>
      <c r="I389" s="7"/>
      <c r="J389" s="8"/>
      <c r="K389" s="6"/>
      <c r="L389" s="8"/>
      <c r="N389" s="8"/>
    </row>
    <row r="390">
      <c r="A390" s="10"/>
      <c r="B390" s="5"/>
      <c r="H390" s="6"/>
      <c r="I390" s="7"/>
      <c r="J390" s="8"/>
      <c r="K390" s="6"/>
      <c r="L390" s="8"/>
      <c r="N390" s="8"/>
    </row>
    <row r="391">
      <c r="A391" s="10"/>
      <c r="B391" s="5"/>
      <c r="H391" s="6"/>
      <c r="I391" s="7"/>
      <c r="J391" s="8"/>
      <c r="K391" s="6"/>
      <c r="L391" s="8"/>
      <c r="N391" s="8"/>
    </row>
    <row r="392">
      <c r="A392" s="10"/>
      <c r="B392" s="5"/>
      <c r="H392" s="6"/>
      <c r="I392" s="7"/>
      <c r="J392" s="8"/>
      <c r="K392" s="6"/>
      <c r="L392" s="8"/>
      <c r="N392" s="8"/>
    </row>
    <row r="393">
      <c r="A393" s="10"/>
      <c r="B393" s="5"/>
      <c r="H393" s="6"/>
      <c r="I393" s="7"/>
      <c r="J393" s="8"/>
      <c r="K393" s="6"/>
      <c r="L393" s="8"/>
      <c r="N393" s="8"/>
    </row>
    <row r="394">
      <c r="A394" s="10"/>
      <c r="B394" s="5"/>
      <c r="H394" s="6"/>
      <c r="I394" s="7"/>
      <c r="J394" s="8"/>
      <c r="K394" s="6"/>
      <c r="L394" s="8"/>
      <c r="N394" s="8"/>
    </row>
    <row r="395">
      <c r="A395" s="10"/>
      <c r="B395" s="5"/>
      <c r="H395" s="6"/>
      <c r="I395" s="7"/>
      <c r="J395" s="8"/>
      <c r="K395" s="6"/>
      <c r="L395" s="8"/>
      <c r="N395" s="8"/>
    </row>
    <row r="396">
      <c r="A396" s="10"/>
      <c r="B396" s="5"/>
      <c r="H396" s="6"/>
      <c r="I396" s="7"/>
      <c r="J396" s="8"/>
      <c r="K396" s="6"/>
      <c r="L396" s="8"/>
      <c r="N396" s="8"/>
    </row>
    <row r="397">
      <c r="A397" s="10"/>
      <c r="B397" s="5"/>
      <c r="H397" s="6"/>
      <c r="I397" s="7"/>
      <c r="J397" s="8"/>
      <c r="K397" s="6"/>
      <c r="L397" s="8"/>
      <c r="N397" s="8"/>
    </row>
    <row r="398">
      <c r="A398" s="10"/>
      <c r="B398" s="5"/>
      <c r="H398" s="6"/>
      <c r="I398" s="7"/>
      <c r="J398" s="8"/>
      <c r="K398" s="6"/>
      <c r="L398" s="8"/>
      <c r="N398" s="8"/>
    </row>
    <row r="399">
      <c r="A399" s="10"/>
      <c r="B399" s="5"/>
      <c r="H399" s="6"/>
      <c r="I399" s="7"/>
      <c r="J399" s="8"/>
      <c r="K399" s="6"/>
      <c r="L399" s="8"/>
      <c r="N399" s="8"/>
    </row>
    <row r="400">
      <c r="A400" s="10"/>
      <c r="B400" s="5"/>
      <c r="H400" s="6"/>
      <c r="I400" s="7"/>
      <c r="J400" s="8"/>
      <c r="K400" s="6"/>
      <c r="L400" s="8"/>
      <c r="N400" s="8"/>
    </row>
    <row r="401">
      <c r="A401" s="10"/>
      <c r="B401" s="5"/>
      <c r="H401" s="6"/>
      <c r="I401" s="7"/>
      <c r="J401" s="8"/>
      <c r="K401" s="6"/>
      <c r="L401" s="8"/>
      <c r="N401" s="8"/>
    </row>
    <row r="402">
      <c r="A402" s="10"/>
      <c r="B402" s="5"/>
      <c r="H402" s="6"/>
      <c r="I402" s="7"/>
      <c r="J402" s="8"/>
      <c r="K402" s="6"/>
      <c r="L402" s="8"/>
      <c r="N402" s="8"/>
    </row>
    <row r="403">
      <c r="A403" s="10"/>
      <c r="B403" s="5"/>
      <c r="H403" s="6"/>
      <c r="I403" s="7"/>
      <c r="J403" s="8"/>
      <c r="K403" s="6"/>
      <c r="L403" s="8"/>
      <c r="N403" s="8"/>
    </row>
    <row r="404">
      <c r="A404" s="10"/>
      <c r="B404" s="5"/>
      <c r="H404" s="6"/>
      <c r="I404" s="7"/>
      <c r="J404" s="8"/>
      <c r="K404" s="6"/>
      <c r="L404" s="8"/>
      <c r="N404" s="8"/>
    </row>
    <row r="405">
      <c r="A405" s="10"/>
      <c r="B405" s="5"/>
      <c r="H405" s="6"/>
      <c r="I405" s="7"/>
      <c r="J405" s="8"/>
      <c r="K405" s="6"/>
      <c r="L405" s="8"/>
      <c r="N405" s="8"/>
    </row>
    <row r="406">
      <c r="A406" s="10"/>
      <c r="B406" s="5"/>
      <c r="H406" s="6"/>
      <c r="I406" s="7"/>
      <c r="J406" s="8"/>
      <c r="K406" s="6"/>
      <c r="L406" s="8"/>
      <c r="N406" s="8"/>
    </row>
    <row r="407">
      <c r="A407" s="10"/>
      <c r="B407" s="5"/>
      <c r="H407" s="6"/>
      <c r="I407" s="7"/>
      <c r="J407" s="8"/>
      <c r="K407" s="6"/>
      <c r="L407" s="8"/>
      <c r="N407" s="8"/>
    </row>
    <row r="408">
      <c r="A408" s="10"/>
      <c r="B408" s="5"/>
      <c r="H408" s="6"/>
      <c r="I408" s="7"/>
      <c r="J408" s="8"/>
      <c r="K408" s="6"/>
      <c r="L408" s="8"/>
      <c r="N408" s="8"/>
    </row>
    <row r="409">
      <c r="A409" s="10"/>
      <c r="B409" s="5"/>
      <c r="H409" s="6"/>
      <c r="I409" s="7"/>
      <c r="J409" s="8"/>
      <c r="K409" s="6"/>
      <c r="L409" s="8"/>
      <c r="N409" s="8"/>
    </row>
    <row r="410">
      <c r="A410" s="10"/>
      <c r="B410" s="5"/>
      <c r="H410" s="6"/>
      <c r="I410" s="7"/>
      <c r="J410" s="8"/>
      <c r="K410" s="6"/>
      <c r="L410" s="8"/>
      <c r="N410" s="8"/>
    </row>
    <row r="411">
      <c r="A411" s="10"/>
      <c r="B411" s="5"/>
      <c r="H411" s="6"/>
      <c r="I411" s="7"/>
      <c r="J411" s="8"/>
      <c r="K411" s="6"/>
      <c r="L411" s="8"/>
      <c r="N411" s="8"/>
    </row>
    <row r="412">
      <c r="A412" s="10"/>
      <c r="B412" s="5"/>
      <c r="H412" s="6"/>
      <c r="I412" s="7"/>
      <c r="J412" s="8"/>
      <c r="K412" s="6"/>
      <c r="L412" s="8"/>
      <c r="N412" s="8"/>
    </row>
    <row r="413">
      <c r="A413" s="10"/>
      <c r="B413" s="5"/>
      <c r="H413" s="6"/>
      <c r="I413" s="7"/>
      <c r="J413" s="8"/>
      <c r="K413" s="6"/>
      <c r="L413" s="8"/>
      <c r="N413" s="8"/>
    </row>
    <row r="414">
      <c r="A414" s="10"/>
      <c r="B414" s="5"/>
      <c r="H414" s="6"/>
      <c r="I414" s="7"/>
      <c r="J414" s="8"/>
      <c r="K414" s="6"/>
      <c r="L414" s="8"/>
      <c r="N414" s="8"/>
    </row>
    <row r="415">
      <c r="A415" s="10"/>
      <c r="B415" s="5"/>
      <c r="H415" s="6"/>
      <c r="I415" s="7"/>
      <c r="J415" s="8"/>
      <c r="K415" s="6"/>
      <c r="L415" s="8"/>
      <c r="N415" s="8"/>
    </row>
    <row r="416">
      <c r="A416" s="10"/>
      <c r="B416" s="5"/>
      <c r="H416" s="6"/>
      <c r="I416" s="7"/>
      <c r="J416" s="8"/>
      <c r="K416" s="6"/>
      <c r="L416" s="8"/>
      <c r="N416" s="8"/>
    </row>
    <row r="417">
      <c r="A417" s="10"/>
      <c r="B417" s="5"/>
      <c r="H417" s="6"/>
      <c r="I417" s="7"/>
      <c r="J417" s="8"/>
      <c r="K417" s="6"/>
      <c r="L417" s="8"/>
      <c r="N417" s="8"/>
    </row>
    <row r="418">
      <c r="A418" s="10"/>
      <c r="B418" s="5"/>
      <c r="H418" s="6"/>
      <c r="I418" s="7"/>
      <c r="J418" s="8"/>
      <c r="K418" s="6"/>
      <c r="L418" s="8"/>
      <c r="N418" s="8"/>
    </row>
    <row r="419">
      <c r="A419" s="10"/>
      <c r="B419" s="5"/>
      <c r="H419" s="6"/>
      <c r="I419" s="7"/>
      <c r="J419" s="8"/>
      <c r="K419" s="6"/>
      <c r="L419" s="8"/>
      <c r="N419" s="8"/>
    </row>
    <row r="420">
      <c r="A420" s="10"/>
      <c r="B420" s="5"/>
      <c r="H420" s="6"/>
      <c r="I420" s="7"/>
      <c r="J420" s="8"/>
      <c r="K420" s="6"/>
      <c r="L420" s="8"/>
      <c r="N420" s="8"/>
    </row>
    <row r="421">
      <c r="A421" s="10"/>
      <c r="B421" s="5"/>
      <c r="H421" s="6"/>
      <c r="I421" s="7"/>
      <c r="J421" s="8"/>
      <c r="K421" s="6"/>
      <c r="L421" s="8"/>
      <c r="N421" s="8"/>
    </row>
    <row r="422">
      <c r="A422" s="10"/>
      <c r="B422" s="5"/>
      <c r="H422" s="6"/>
      <c r="I422" s="7"/>
      <c r="J422" s="8"/>
      <c r="K422" s="6"/>
      <c r="L422" s="8"/>
      <c r="N422" s="8"/>
    </row>
    <row r="423">
      <c r="A423" s="10"/>
      <c r="B423" s="5"/>
      <c r="H423" s="6"/>
      <c r="I423" s="7"/>
      <c r="J423" s="8"/>
      <c r="K423" s="6"/>
      <c r="L423" s="8"/>
      <c r="N423" s="8"/>
    </row>
    <row r="424">
      <c r="A424" s="10"/>
      <c r="B424" s="5"/>
      <c r="H424" s="6"/>
      <c r="I424" s="7"/>
      <c r="J424" s="8"/>
      <c r="K424" s="6"/>
      <c r="L424" s="8"/>
      <c r="N424" s="8"/>
    </row>
    <row r="425">
      <c r="A425" s="10"/>
      <c r="B425" s="5"/>
      <c r="H425" s="6"/>
      <c r="I425" s="7"/>
      <c r="J425" s="8"/>
      <c r="K425" s="6"/>
      <c r="L425" s="8"/>
      <c r="N425" s="8"/>
    </row>
    <row r="426">
      <c r="A426" s="10"/>
      <c r="B426" s="5"/>
      <c r="H426" s="6"/>
      <c r="I426" s="7"/>
      <c r="J426" s="8"/>
      <c r="K426" s="6"/>
      <c r="L426" s="8"/>
      <c r="N426" s="8"/>
    </row>
    <row r="427">
      <c r="A427" s="10"/>
      <c r="B427" s="5"/>
      <c r="H427" s="6"/>
      <c r="I427" s="7"/>
      <c r="J427" s="8"/>
      <c r="K427" s="6"/>
      <c r="L427" s="8"/>
      <c r="N427" s="8"/>
    </row>
    <row r="428">
      <c r="A428" s="10"/>
      <c r="B428" s="5"/>
      <c r="H428" s="6"/>
      <c r="I428" s="7"/>
      <c r="J428" s="8"/>
      <c r="K428" s="6"/>
      <c r="L428" s="8"/>
      <c r="N428" s="8"/>
    </row>
    <row r="429">
      <c r="A429" s="10"/>
      <c r="B429" s="5"/>
      <c r="H429" s="6"/>
      <c r="I429" s="7"/>
      <c r="J429" s="8"/>
      <c r="K429" s="6"/>
      <c r="L429" s="8"/>
      <c r="N429" s="8"/>
    </row>
    <row r="430">
      <c r="A430" s="10"/>
      <c r="B430" s="5"/>
      <c r="H430" s="6"/>
      <c r="I430" s="7"/>
      <c r="J430" s="8"/>
      <c r="K430" s="6"/>
      <c r="L430" s="8"/>
      <c r="N430" s="8"/>
    </row>
    <row r="431">
      <c r="A431" s="10"/>
      <c r="B431" s="5"/>
      <c r="H431" s="6"/>
      <c r="I431" s="7"/>
      <c r="J431" s="8"/>
      <c r="K431" s="6"/>
      <c r="L431" s="8"/>
      <c r="N431" s="8"/>
    </row>
    <row r="432">
      <c r="A432" s="10"/>
      <c r="B432" s="5"/>
      <c r="H432" s="6"/>
      <c r="I432" s="7"/>
      <c r="J432" s="8"/>
      <c r="K432" s="6"/>
      <c r="L432" s="8"/>
      <c r="N432" s="8"/>
    </row>
    <row r="433">
      <c r="A433" s="10"/>
      <c r="B433" s="5"/>
      <c r="H433" s="6"/>
      <c r="I433" s="7"/>
      <c r="J433" s="8"/>
      <c r="K433" s="6"/>
      <c r="L433" s="8"/>
      <c r="N433" s="8"/>
    </row>
    <row r="434">
      <c r="A434" s="10"/>
      <c r="B434" s="5"/>
      <c r="H434" s="6"/>
      <c r="I434" s="7"/>
      <c r="J434" s="8"/>
      <c r="K434" s="6"/>
      <c r="L434" s="8"/>
      <c r="N434" s="8"/>
    </row>
    <row r="435">
      <c r="A435" s="10"/>
      <c r="B435" s="5"/>
      <c r="H435" s="6"/>
      <c r="I435" s="7"/>
      <c r="J435" s="8"/>
      <c r="K435" s="6"/>
      <c r="L435" s="8"/>
      <c r="N435" s="8"/>
    </row>
    <row r="436">
      <c r="A436" s="10"/>
      <c r="B436" s="5"/>
      <c r="H436" s="6"/>
      <c r="I436" s="7"/>
      <c r="J436" s="8"/>
      <c r="K436" s="6"/>
      <c r="L436" s="8"/>
      <c r="N436" s="8"/>
    </row>
    <row r="437">
      <c r="A437" s="10"/>
      <c r="B437" s="5"/>
      <c r="H437" s="6"/>
      <c r="I437" s="7"/>
      <c r="J437" s="8"/>
      <c r="K437" s="6"/>
      <c r="L437" s="8"/>
      <c r="N437" s="8"/>
    </row>
    <row r="438">
      <c r="A438" s="10"/>
      <c r="B438" s="5"/>
      <c r="H438" s="6"/>
      <c r="I438" s="7"/>
      <c r="J438" s="8"/>
      <c r="K438" s="6"/>
      <c r="L438" s="8"/>
      <c r="N438" s="8"/>
    </row>
    <row r="439">
      <c r="A439" s="10"/>
      <c r="B439" s="5"/>
      <c r="H439" s="6"/>
      <c r="I439" s="7"/>
      <c r="J439" s="8"/>
      <c r="K439" s="6"/>
      <c r="L439" s="8"/>
      <c r="N439" s="8"/>
    </row>
    <row r="440">
      <c r="A440" s="10"/>
      <c r="B440" s="5"/>
      <c r="H440" s="6"/>
      <c r="I440" s="7"/>
      <c r="J440" s="8"/>
      <c r="K440" s="6"/>
      <c r="L440" s="8"/>
      <c r="N440" s="8"/>
    </row>
    <row r="441">
      <c r="A441" s="10"/>
      <c r="B441" s="5"/>
      <c r="H441" s="6"/>
      <c r="I441" s="7"/>
      <c r="J441" s="8"/>
      <c r="K441" s="6"/>
      <c r="L441" s="8"/>
      <c r="N441" s="8"/>
    </row>
    <row r="442">
      <c r="A442" s="10"/>
      <c r="B442" s="5"/>
      <c r="H442" s="6"/>
      <c r="I442" s="7"/>
      <c r="J442" s="8"/>
      <c r="K442" s="6"/>
      <c r="L442" s="8"/>
      <c r="N442" s="8"/>
    </row>
    <row r="443">
      <c r="A443" s="10"/>
      <c r="B443" s="5"/>
      <c r="H443" s="6"/>
      <c r="I443" s="7"/>
      <c r="J443" s="8"/>
      <c r="K443" s="6"/>
      <c r="L443" s="8"/>
      <c r="N443" s="8"/>
    </row>
    <row r="444">
      <c r="A444" s="10"/>
      <c r="B444" s="5"/>
      <c r="H444" s="6"/>
      <c r="I444" s="7"/>
      <c r="J444" s="8"/>
      <c r="K444" s="6"/>
      <c r="L444" s="8"/>
      <c r="N444" s="8"/>
    </row>
    <row r="445">
      <c r="A445" s="10"/>
      <c r="B445" s="5"/>
      <c r="H445" s="6"/>
      <c r="I445" s="7"/>
      <c r="J445" s="8"/>
      <c r="K445" s="6"/>
      <c r="L445" s="8"/>
      <c r="N445" s="8"/>
    </row>
    <row r="446">
      <c r="A446" s="10"/>
      <c r="B446" s="5"/>
      <c r="H446" s="6"/>
      <c r="I446" s="7"/>
      <c r="J446" s="8"/>
      <c r="K446" s="6"/>
      <c r="L446" s="8"/>
      <c r="N446" s="8"/>
    </row>
    <row r="447">
      <c r="A447" s="10"/>
      <c r="B447" s="5"/>
      <c r="H447" s="6"/>
      <c r="I447" s="7"/>
      <c r="J447" s="8"/>
      <c r="K447" s="6"/>
      <c r="L447" s="8"/>
      <c r="N447" s="8"/>
    </row>
    <row r="448">
      <c r="A448" s="10"/>
      <c r="B448" s="5"/>
      <c r="H448" s="6"/>
      <c r="I448" s="7"/>
      <c r="J448" s="8"/>
      <c r="K448" s="6"/>
      <c r="L448" s="8"/>
      <c r="N448" s="8"/>
    </row>
    <row r="449">
      <c r="A449" s="10"/>
      <c r="B449" s="5"/>
      <c r="H449" s="6"/>
      <c r="I449" s="7"/>
      <c r="J449" s="8"/>
      <c r="K449" s="6"/>
      <c r="L449" s="8"/>
      <c r="N449" s="8"/>
    </row>
    <row r="450">
      <c r="A450" s="10"/>
      <c r="B450" s="5"/>
      <c r="H450" s="6"/>
      <c r="I450" s="7"/>
      <c r="J450" s="8"/>
      <c r="K450" s="6"/>
      <c r="L450" s="8"/>
      <c r="N450" s="8"/>
    </row>
    <row r="451">
      <c r="A451" s="10"/>
      <c r="B451" s="5"/>
      <c r="H451" s="6"/>
      <c r="I451" s="7"/>
      <c r="J451" s="8"/>
      <c r="K451" s="6"/>
      <c r="L451" s="8"/>
      <c r="N451" s="8"/>
    </row>
    <row r="452">
      <c r="A452" s="10"/>
      <c r="B452" s="5"/>
      <c r="H452" s="6"/>
      <c r="I452" s="7"/>
      <c r="J452" s="8"/>
      <c r="K452" s="6"/>
      <c r="L452" s="8"/>
      <c r="N452" s="8"/>
    </row>
    <row r="453">
      <c r="A453" s="10"/>
      <c r="B453" s="5"/>
      <c r="H453" s="6"/>
      <c r="I453" s="7"/>
      <c r="J453" s="8"/>
      <c r="K453" s="6"/>
      <c r="L453" s="8"/>
      <c r="N453" s="8"/>
    </row>
    <row r="454">
      <c r="A454" s="10"/>
      <c r="B454" s="5"/>
      <c r="H454" s="6"/>
      <c r="I454" s="7"/>
      <c r="J454" s="8"/>
      <c r="K454" s="6"/>
      <c r="L454" s="8"/>
      <c r="N454" s="8"/>
    </row>
    <row r="455">
      <c r="A455" s="10"/>
      <c r="B455" s="5"/>
      <c r="H455" s="6"/>
      <c r="I455" s="7"/>
      <c r="J455" s="8"/>
      <c r="K455" s="6"/>
      <c r="L455" s="8"/>
      <c r="N455" s="8"/>
    </row>
    <row r="456">
      <c r="A456" s="10"/>
      <c r="B456" s="5"/>
      <c r="H456" s="6"/>
      <c r="I456" s="7"/>
      <c r="J456" s="8"/>
      <c r="K456" s="6"/>
      <c r="L456" s="8"/>
      <c r="N456" s="8"/>
    </row>
    <row r="457">
      <c r="A457" s="10"/>
      <c r="B457" s="5"/>
      <c r="H457" s="6"/>
      <c r="I457" s="7"/>
      <c r="J457" s="8"/>
      <c r="K457" s="6"/>
      <c r="L457" s="8"/>
      <c r="N457" s="8"/>
    </row>
    <row r="458">
      <c r="A458" s="10"/>
      <c r="B458" s="5"/>
      <c r="H458" s="6"/>
      <c r="I458" s="7"/>
      <c r="J458" s="8"/>
      <c r="K458" s="6"/>
      <c r="L458" s="8"/>
      <c r="N458" s="8"/>
    </row>
    <row r="459">
      <c r="A459" s="10"/>
      <c r="B459" s="5"/>
      <c r="H459" s="6"/>
      <c r="I459" s="7"/>
      <c r="J459" s="8"/>
      <c r="K459" s="6"/>
      <c r="L459" s="8"/>
      <c r="N459" s="8"/>
    </row>
    <row r="460">
      <c r="A460" s="10"/>
      <c r="B460" s="5"/>
      <c r="H460" s="6"/>
      <c r="I460" s="7"/>
      <c r="J460" s="8"/>
      <c r="K460" s="6"/>
      <c r="L460" s="8"/>
      <c r="N460" s="8"/>
    </row>
    <row r="461">
      <c r="A461" s="10"/>
      <c r="B461" s="5"/>
      <c r="H461" s="6"/>
      <c r="I461" s="7"/>
      <c r="J461" s="8"/>
      <c r="K461" s="6"/>
      <c r="L461" s="8"/>
      <c r="N461" s="8"/>
    </row>
    <row r="462">
      <c r="A462" s="10"/>
      <c r="B462" s="5"/>
      <c r="H462" s="6"/>
      <c r="I462" s="7"/>
      <c r="J462" s="8"/>
      <c r="K462" s="6"/>
      <c r="L462" s="8"/>
      <c r="N462" s="8"/>
    </row>
    <row r="463">
      <c r="A463" s="10"/>
      <c r="B463" s="5"/>
      <c r="H463" s="6"/>
      <c r="I463" s="7"/>
      <c r="J463" s="8"/>
      <c r="K463" s="6"/>
      <c r="L463" s="8"/>
      <c r="N463" s="8"/>
    </row>
    <row r="464">
      <c r="A464" s="10"/>
      <c r="B464" s="5"/>
      <c r="H464" s="6"/>
      <c r="I464" s="7"/>
      <c r="J464" s="8"/>
      <c r="K464" s="6"/>
      <c r="L464" s="8"/>
      <c r="N464" s="8"/>
    </row>
    <row r="465">
      <c r="A465" s="10"/>
      <c r="B465" s="5"/>
      <c r="H465" s="6"/>
      <c r="I465" s="7"/>
      <c r="J465" s="8"/>
      <c r="K465" s="6"/>
      <c r="L465" s="8"/>
      <c r="N465" s="8"/>
    </row>
    <row r="466">
      <c r="A466" s="10"/>
      <c r="B466" s="5"/>
      <c r="H466" s="6"/>
      <c r="I466" s="7"/>
      <c r="J466" s="8"/>
      <c r="K466" s="6"/>
      <c r="L466" s="8"/>
      <c r="N466" s="8"/>
    </row>
    <row r="467">
      <c r="A467" s="10"/>
      <c r="B467" s="5"/>
      <c r="H467" s="6"/>
      <c r="I467" s="7"/>
      <c r="J467" s="8"/>
      <c r="K467" s="6"/>
      <c r="L467" s="8"/>
      <c r="N467" s="8"/>
    </row>
    <row r="468">
      <c r="A468" s="10"/>
      <c r="B468" s="5"/>
      <c r="H468" s="6"/>
      <c r="I468" s="7"/>
      <c r="J468" s="8"/>
      <c r="K468" s="6"/>
      <c r="L468" s="8"/>
      <c r="N468" s="8"/>
    </row>
    <row r="469">
      <c r="A469" s="10"/>
      <c r="B469" s="5"/>
      <c r="H469" s="6"/>
      <c r="I469" s="7"/>
      <c r="J469" s="8"/>
      <c r="K469" s="6"/>
      <c r="L469" s="8"/>
      <c r="N469" s="8"/>
    </row>
    <row r="470">
      <c r="A470" s="10"/>
      <c r="B470" s="5"/>
      <c r="H470" s="6"/>
      <c r="I470" s="7"/>
      <c r="J470" s="8"/>
      <c r="K470" s="6"/>
      <c r="L470" s="8"/>
      <c r="N470" s="8"/>
    </row>
    <row r="471">
      <c r="A471" s="10"/>
      <c r="B471" s="5"/>
      <c r="H471" s="6"/>
      <c r="I471" s="7"/>
      <c r="J471" s="8"/>
      <c r="K471" s="6"/>
      <c r="L471" s="8"/>
      <c r="N471" s="8"/>
    </row>
    <row r="472">
      <c r="A472" s="10"/>
      <c r="B472" s="5"/>
      <c r="H472" s="6"/>
      <c r="I472" s="7"/>
      <c r="J472" s="8"/>
      <c r="K472" s="6"/>
      <c r="L472" s="8"/>
      <c r="N472" s="8"/>
    </row>
    <row r="473">
      <c r="A473" s="10"/>
      <c r="B473" s="5"/>
      <c r="H473" s="6"/>
      <c r="I473" s="7"/>
      <c r="J473" s="8"/>
      <c r="K473" s="6"/>
      <c r="L473" s="8"/>
      <c r="N473" s="8"/>
    </row>
    <row r="474">
      <c r="A474" s="10"/>
      <c r="B474" s="5"/>
      <c r="H474" s="6"/>
      <c r="I474" s="7"/>
      <c r="J474" s="8"/>
      <c r="K474" s="6"/>
      <c r="L474" s="8"/>
      <c r="N474" s="8"/>
    </row>
    <row r="475">
      <c r="A475" s="10"/>
      <c r="B475" s="5"/>
      <c r="H475" s="6"/>
      <c r="I475" s="7"/>
      <c r="J475" s="8"/>
      <c r="K475" s="6"/>
      <c r="L475" s="8"/>
      <c r="N475" s="8"/>
    </row>
    <row r="476">
      <c r="A476" s="10"/>
      <c r="B476" s="5"/>
      <c r="H476" s="6"/>
      <c r="I476" s="7"/>
      <c r="J476" s="8"/>
      <c r="K476" s="6"/>
      <c r="L476" s="8"/>
      <c r="N476" s="8"/>
    </row>
    <row r="477">
      <c r="A477" s="10"/>
      <c r="B477" s="5"/>
      <c r="H477" s="6"/>
      <c r="I477" s="7"/>
      <c r="J477" s="8"/>
      <c r="K477" s="6"/>
      <c r="L477" s="8"/>
      <c r="N477" s="8"/>
    </row>
    <row r="478">
      <c r="A478" s="10"/>
      <c r="B478" s="5"/>
      <c r="H478" s="6"/>
      <c r="I478" s="7"/>
      <c r="J478" s="8"/>
      <c r="K478" s="6"/>
      <c r="L478" s="8"/>
      <c r="N478" s="8"/>
    </row>
    <row r="479">
      <c r="A479" s="10"/>
      <c r="B479" s="5"/>
      <c r="H479" s="6"/>
      <c r="I479" s="7"/>
      <c r="J479" s="8"/>
      <c r="K479" s="6"/>
      <c r="L479" s="8"/>
      <c r="N479" s="8"/>
    </row>
    <row r="480">
      <c r="A480" s="10"/>
      <c r="B480" s="5"/>
      <c r="H480" s="6"/>
      <c r="I480" s="7"/>
      <c r="J480" s="8"/>
      <c r="K480" s="6"/>
      <c r="L480" s="8"/>
      <c r="N480" s="8"/>
    </row>
    <row r="481">
      <c r="A481" s="10"/>
      <c r="B481" s="5"/>
      <c r="H481" s="6"/>
      <c r="I481" s="7"/>
      <c r="J481" s="8"/>
      <c r="K481" s="6"/>
      <c r="L481" s="8"/>
      <c r="N481" s="8"/>
    </row>
    <row r="482">
      <c r="A482" s="10"/>
      <c r="B482" s="5"/>
      <c r="H482" s="6"/>
      <c r="I482" s="7"/>
      <c r="J482" s="8"/>
      <c r="K482" s="6"/>
      <c r="L482" s="8"/>
      <c r="N482" s="8"/>
    </row>
    <row r="483">
      <c r="A483" s="10"/>
      <c r="B483" s="5"/>
      <c r="H483" s="6"/>
      <c r="I483" s="7"/>
      <c r="J483" s="8"/>
      <c r="K483" s="6"/>
      <c r="L483" s="8"/>
      <c r="N483" s="8"/>
    </row>
    <row r="484">
      <c r="A484" s="10"/>
      <c r="B484" s="5"/>
      <c r="H484" s="6"/>
      <c r="I484" s="7"/>
      <c r="J484" s="8"/>
      <c r="K484" s="6"/>
      <c r="L484" s="8"/>
      <c r="N484" s="8"/>
    </row>
    <row r="485">
      <c r="A485" s="10"/>
      <c r="B485" s="5"/>
      <c r="H485" s="6"/>
      <c r="I485" s="7"/>
      <c r="J485" s="8"/>
      <c r="K485" s="6"/>
      <c r="L485" s="8"/>
      <c r="N485" s="8"/>
    </row>
    <row r="486">
      <c r="A486" s="10"/>
      <c r="B486" s="5"/>
      <c r="H486" s="6"/>
      <c r="I486" s="7"/>
      <c r="J486" s="8"/>
      <c r="K486" s="6"/>
      <c r="L486" s="8"/>
      <c r="N486" s="8"/>
    </row>
    <row r="487">
      <c r="A487" s="10"/>
      <c r="B487" s="5"/>
      <c r="H487" s="6"/>
      <c r="I487" s="7"/>
      <c r="J487" s="8"/>
      <c r="K487" s="6"/>
      <c r="L487" s="8"/>
      <c r="N487" s="8"/>
    </row>
    <row r="488">
      <c r="A488" s="10"/>
      <c r="B488" s="5"/>
      <c r="H488" s="6"/>
      <c r="I488" s="7"/>
      <c r="J488" s="8"/>
      <c r="K488" s="6"/>
      <c r="L488" s="8"/>
      <c r="N488" s="8"/>
    </row>
    <row r="489">
      <c r="A489" s="10"/>
      <c r="B489" s="5"/>
      <c r="H489" s="6"/>
      <c r="I489" s="7"/>
      <c r="J489" s="8"/>
      <c r="K489" s="6"/>
      <c r="L489" s="8"/>
      <c r="N489" s="8"/>
    </row>
    <row r="490">
      <c r="A490" s="10"/>
      <c r="B490" s="5"/>
      <c r="H490" s="6"/>
      <c r="I490" s="7"/>
      <c r="J490" s="8"/>
      <c r="K490" s="6"/>
      <c r="L490" s="8"/>
      <c r="N490" s="8"/>
    </row>
    <row r="491">
      <c r="A491" s="10"/>
      <c r="B491" s="5"/>
      <c r="H491" s="6"/>
      <c r="I491" s="7"/>
      <c r="J491" s="8"/>
      <c r="K491" s="6"/>
      <c r="L491" s="8"/>
      <c r="N491" s="8"/>
    </row>
    <row r="492">
      <c r="A492" s="10"/>
      <c r="B492" s="5"/>
      <c r="H492" s="6"/>
      <c r="I492" s="7"/>
      <c r="J492" s="8"/>
      <c r="K492" s="6"/>
      <c r="L492" s="8"/>
      <c r="N492" s="8"/>
    </row>
    <row r="493">
      <c r="A493" s="10"/>
      <c r="B493" s="5"/>
      <c r="H493" s="6"/>
      <c r="I493" s="7"/>
      <c r="J493" s="8"/>
      <c r="K493" s="6"/>
      <c r="L493" s="8"/>
      <c r="N493" s="8"/>
    </row>
    <row r="494">
      <c r="A494" s="10"/>
      <c r="B494" s="5"/>
      <c r="H494" s="6"/>
      <c r="I494" s="7"/>
      <c r="J494" s="8"/>
      <c r="K494" s="6"/>
      <c r="L494" s="8"/>
      <c r="N494" s="8"/>
    </row>
    <row r="495">
      <c r="A495" s="10"/>
      <c r="B495" s="5"/>
      <c r="H495" s="6"/>
      <c r="I495" s="7"/>
      <c r="J495" s="8"/>
      <c r="K495" s="6"/>
      <c r="L495" s="8"/>
      <c r="N495" s="8"/>
    </row>
    <row r="496">
      <c r="A496" s="10"/>
      <c r="B496" s="5"/>
      <c r="H496" s="6"/>
      <c r="I496" s="7"/>
      <c r="J496" s="8"/>
      <c r="K496" s="6"/>
      <c r="L496" s="8"/>
      <c r="N496" s="8"/>
    </row>
    <row r="497">
      <c r="A497" s="10"/>
      <c r="B497" s="5"/>
      <c r="H497" s="6"/>
      <c r="I497" s="7"/>
      <c r="J497" s="8"/>
      <c r="K497" s="6"/>
      <c r="L497" s="8"/>
      <c r="N497" s="8"/>
    </row>
    <row r="498">
      <c r="A498" s="10"/>
      <c r="B498" s="5"/>
      <c r="H498" s="6"/>
      <c r="I498" s="7"/>
      <c r="J498" s="8"/>
      <c r="K498" s="6"/>
      <c r="L498" s="8"/>
      <c r="N498" s="8"/>
    </row>
    <row r="499">
      <c r="A499" s="10"/>
      <c r="B499" s="5"/>
      <c r="H499" s="6"/>
      <c r="I499" s="7"/>
      <c r="J499" s="8"/>
      <c r="K499" s="6"/>
      <c r="L499" s="8"/>
      <c r="N499" s="8"/>
    </row>
    <row r="500">
      <c r="A500" s="10"/>
      <c r="B500" s="5"/>
      <c r="H500" s="6"/>
      <c r="I500" s="7"/>
      <c r="J500" s="8"/>
      <c r="K500" s="6"/>
      <c r="L500" s="8"/>
      <c r="N500" s="8"/>
    </row>
    <row r="501">
      <c r="A501" s="10"/>
      <c r="B501" s="5"/>
      <c r="H501" s="6"/>
      <c r="I501" s="7"/>
      <c r="J501" s="8"/>
      <c r="K501" s="6"/>
      <c r="L501" s="8"/>
      <c r="N501" s="8"/>
    </row>
    <row r="502">
      <c r="A502" s="10"/>
      <c r="B502" s="5"/>
      <c r="H502" s="6"/>
      <c r="I502" s="7"/>
      <c r="J502" s="8"/>
      <c r="K502" s="6"/>
      <c r="L502" s="8"/>
      <c r="N502" s="8"/>
    </row>
    <row r="503">
      <c r="A503" s="10"/>
      <c r="B503" s="5"/>
      <c r="H503" s="6"/>
      <c r="I503" s="7"/>
      <c r="J503" s="8"/>
      <c r="K503" s="6"/>
      <c r="L503" s="8"/>
      <c r="N503" s="8"/>
    </row>
    <row r="504">
      <c r="A504" s="10"/>
      <c r="B504" s="5"/>
      <c r="H504" s="6"/>
      <c r="I504" s="7"/>
      <c r="J504" s="8"/>
      <c r="K504" s="6"/>
      <c r="L504" s="8"/>
      <c r="N504" s="8"/>
    </row>
    <row r="505">
      <c r="A505" s="10"/>
      <c r="B505" s="5"/>
      <c r="H505" s="6"/>
      <c r="I505" s="7"/>
      <c r="J505" s="8"/>
      <c r="K505" s="6"/>
      <c r="L505" s="8"/>
      <c r="N505" s="8"/>
    </row>
    <row r="506">
      <c r="A506" s="10"/>
      <c r="B506" s="5"/>
      <c r="H506" s="6"/>
      <c r="I506" s="7"/>
      <c r="J506" s="8"/>
      <c r="K506" s="6"/>
      <c r="L506" s="8"/>
      <c r="N506" s="8"/>
    </row>
    <row r="507">
      <c r="A507" s="10"/>
      <c r="B507" s="5"/>
      <c r="H507" s="6"/>
      <c r="I507" s="7"/>
      <c r="J507" s="8"/>
      <c r="K507" s="6"/>
      <c r="L507" s="8"/>
      <c r="N507" s="8"/>
    </row>
    <row r="508">
      <c r="A508" s="10"/>
      <c r="B508" s="5"/>
      <c r="H508" s="6"/>
      <c r="I508" s="7"/>
      <c r="J508" s="8"/>
      <c r="K508" s="6"/>
      <c r="L508" s="8"/>
      <c r="N508" s="8"/>
    </row>
    <row r="509">
      <c r="A509" s="10"/>
      <c r="B509" s="5"/>
      <c r="H509" s="6"/>
      <c r="I509" s="7"/>
      <c r="J509" s="8"/>
      <c r="K509" s="6"/>
      <c r="L509" s="8"/>
      <c r="N509" s="8"/>
    </row>
    <row r="510">
      <c r="A510" s="10"/>
      <c r="B510" s="5"/>
      <c r="H510" s="6"/>
      <c r="I510" s="7"/>
      <c r="J510" s="8"/>
      <c r="K510" s="6"/>
      <c r="L510" s="8"/>
      <c r="N510" s="8"/>
    </row>
    <row r="511">
      <c r="A511" s="10"/>
      <c r="B511" s="5"/>
      <c r="H511" s="6"/>
      <c r="I511" s="7"/>
      <c r="J511" s="8"/>
      <c r="K511" s="6"/>
      <c r="L511" s="8"/>
      <c r="N511" s="8"/>
    </row>
    <row r="512">
      <c r="A512" s="10"/>
      <c r="B512" s="5"/>
      <c r="H512" s="6"/>
      <c r="I512" s="7"/>
      <c r="J512" s="8"/>
      <c r="K512" s="6"/>
      <c r="L512" s="8"/>
      <c r="N512" s="8"/>
    </row>
    <row r="513">
      <c r="A513" s="10"/>
      <c r="B513" s="5"/>
      <c r="H513" s="6"/>
      <c r="I513" s="7"/>
      <c r="J513" s="8"/>
      <c r="K513" s="6"/>
      <c r="L513" s="8"/>
      <c r="N513" s="8"/>
    </row>
    <row r="514">
      <c r="A514" s="10"/>
      <c r="B514" s="5"/>
      <c r="H514" s="6"/>
      <c r="I514" s="7"/>
      <c r="J514" s="8"/>
      <c r="K514" s="6"/>
      <c r="L514" s="8"/>
      <c r="N514" s="8"/>
    </row>
    <row r="515">
      <c r="A515" s="10"/>
      <c r="B515" s="5"/>
      <c r="H515" s="6"/>
      <c r="I515" s="7"/>
      <c r="J515" s="8"/>
      <c r="K515" s="6"/>
      <c r="L515" s="8"/>
      <c r="N515" s="8"/>
    </row>
    <row r="516">
      <c r="A516" s="10"/>
      <c r="B516" s="5"/>
      <c r="H516" s="6"/>
      <c r="I516" s="7"/>
      <c r="J516" s="8"/>
      <c r="K516" s="6"/>
      <c r="L516" s="8"/>
      <c r="N516" s="8"/>
    </row>
    <row r="517">
      <c r="A517" s="10"/>
      <c r="B517" s="5"/>
      <c r="H517" s="6"/>
      <c r="I517" s="7"/>
      <c r="J517" s="8"/>
      <c r="K517" s="6"/>
      <c r="L517" s="8"/>
      <c r="N517" s="8"/>
    </row>
    <row r="518">
      <c r="A518" s="10"/>
      <c r="B518" s="5"/>
      <c r="H518" s="6"/>
      <c r="I518" s="7"/>
      <c r="J518" s="8"/>
      <c r="K518" s="6"/>
      <c r="L518" s="8"/>
      <c r="N518" s="8"/>
    </row>
    <row r="519">
      <c r="A519" s="10"/>
      <c r="B519" s="5"/>
      <c r="H519" s="6"/>
      <c r="I519" s="7"/>
      <c r="J519" s="8"/>
      <c r="K519" s="6"/>
      <c r="L519" s="8"/>
      <c r="N519" s="8"/>
    </row>
    <row r="520">
      <c r="A520" s="10"/>
      <c r="B520" s="5"/>
      <c r="H520" s="6"/>
      <c r="I520" s="7"/>
      <c r="J520" s="8"/>
      <c r="K520" s="6"/>
      <c r="L520" s="8"/>
      <c r="N520" s="8"/>
    </row>
    <row r="521">
      <c r="A521" s="10"/>
      <c r="B521" s="5"/>
      <c r="H521" s="6"/>
      <c r="I521" s="7"/>
      <c r="J521" s="8"/>
      <c r="K521" s="6"/>
      <c r="L521" s="8"/>
      <c r="N521" s="8"/>
    </row>
    <row r="522">
      <c r="A522" s="10"/>
      <c r="B522" s="5"/>
      <c r="H522" s="6"/>
      <c r="I522" s="7"/>
      <c r="J522" s="8"/>
      <c r="K522" s="6"/>
      <c r="L522" s="8"/>
      <c r="N522" s="8"/>
    </row>
    <row r="523">
      <c r="A523" s="10"/>
      <c r="B523" s="5"/>
      <c r="H523" s="6"/>
      <c r="I523" s="7"/>
      <c r="J523" s="8"/>
      <c r="K523" s="6"/>
      <c r="L523" s="8"/>
      <c r="N523" s="8"/>
    </row>
    <row r="524">
      <c r="A524" s="10"/>
      <c r="B524" s="5"/>
      <c r="H524" s="6"/>
      <c r="I524" s="7"/>
      <c r="J524" s="8"/>
      <c r="K524" s="6"/>
      <c r="L524" s="8"/>
      <c r="N524" s="8"/>
    </row>
    <row r="525">
      <c r="A525" s="10"/>
      <c r="B525" s="5"/>
      <c r="H525" s="6"/>
      <c r="I525" s="7"/>
      <c r="J525" s="8"/>
      <c r="K525" s="6"/>
      <c r="L525" s="8"/>
      <c r="N525" s="8"/>
    </row>
    <row r="526">
      <c r="A526" s="10"/>
      <c r="B526" s="5"/>
      <c r="H526" s="6"/>
      <c r="I526" s="7"/>
      <c r="J526" s="8"/>
      <c r="K526" s="6"/>
      <c r="L526" s="8"/>
      <c r="N526" s="8"/>
    </row>
    <row r="527">
      <c r="A527" s="10"/>
      <c r="B527" s="5"/>
      <c r="H527" s="6"/>
      <c r="I527" s="7"/>
      <c r="J527" s="8"/>
      <c r="K527" s="6"/>
      <c r="L527" s="8"/>
      <c r="N527" s="8"/>
    </row>
    <row r="528">
      <c r="A528" s="10"/>
      <c r="B528" s="5"/>
      <c r="H528" s="6"/>
      <c r="I528" s="7"/>
      <c r="J528" s="8"/>
      <c r="K528" s="6"/>
      <c r="L528" s="8"/>
      <c r="N528" s="8"/>
    </row>
    <row r="529">
      <c r="A529" s="10"/>
      <c r="B529" s="5"/>
      <c r="H529" s="6"/>
      <c r="I529" s="7"/>
      <c r="J529" s="8"/>
      <c r="K529" s="6"/>
      <c r="L529" s="8"/>
      <c r="N529" s="8"/>
    </row>
    <row r="530">
      <c r="A530" s="10"/>
      <c r="B530" s="5"/>
      <c r="H530" s="6"/>
      <c r="I530" s="7"/>
      <c r="J530" s="8"/>
      <c r="K530" s="6"/>
      <c r="L530" s="8"/>
      <c r="N530" s="8"/>
    </row>
    <row r="531">
      <c r="A531" s="10"/>
      <c r="B531" s="5"/>
      <c r="H531" s="6"/>
      <c r="I531" s="7"/>
      <c r="J531" s="8"/>
      <c r="K531" s="6"/>
      <c r="L531" s="8"/>
      <c r="N531" s="8"/>
    </row>
    <row r="532">
      <c r="A532" s="10"/>
      <c r="B532" s="5"/>
      <c r="H532" s="6"/>
      <c r="I532" s="7"/>
      <c r="J532" s="8"/>
      <c r="K532" s="6"/>
      <c r="L532" s="8"/>
      <c r="N532" s="8"/>
    </row>
    <row r="533">
      <c r="A533" s="10"/>
      <c r="B533" s="5"/>
      <c r="H533" s="6"/>
      <c r="I533" s="7"/>
      <c r="J533" s="8"/>
      <c r="K533" s="6"/>
      <c r="L533" s="8"/>
      <c r="N533" s="8"/>
    </row>
    <row r="534">
      <c r="A534" s="10"/>
      <c r="B534" s="5"/>
      <c r="H534" s="6"/>
      <c r="I534" s="7"/>
      <c r="J534" s="8"/>
      <c r="K534" s="6"/>
      <c r="L534" s="8"/>
      <c r="N534" s="8"/>
    </row>
    <row r="535">
      <c r="A535" s="10"/>
      <c r="B535" s="5"/>
      <c r="H535" s="6"/>
      <c r="I535" s="7"/>
      <c r="J535" s="8"/>
      <c r="K535" s="6"/>
      <c r="L535" s="8"/>
      <c r="N535" s="8"/>
    </row>
    <row r="536">
      <c r="A536" s="10"/>
      <c r="B536" s="5"/>
      <c r="H536" s="6"/>
      <c r="I536" s="7"/>
      <c r="J536" s="8"/>
      <c r="K536" s="6"/>
      <c r="L536" s="8"/>
      <c r="N536" s="8"/>
    </row>
    <row r="537">
      <c r="A537" s="10"/>
      <c r="B537" s="5"/>
      <c r="H537" s="6"/>
      <c r="I537" s="7"/>
      <c r="J537" s="8"/>
      <c r="K537" s="6"/>
      <c r="L537" s="8"/>
      <c r="N537" s="8"/>
    </row>
    <row r="538">
      <c r="A538" s="10"/>
      <c r="B538" s="5"/>
      <c r="H538" s="6"/>
      <c r="I538" s="7"/>
      <c r="J538" s="8"/>
      <c r="K538" s="6"/>
      <c r="L538" s="8"/>
      <c r="N538" s="8"/>
    </row>
    <row r="539">
      <c r="A539" s="10"/>
      <c r="B539" s="5"/>
      <c r="H539" s="6"/>
      <c r="I539" s="7"/>
      <c r="J539" s="8"/>
      <c r="K539" s="6"/>
      <c r="L539" s="8"/>
      <c r="N539" s="8"/>
    </row>
    <row r="540">
      <c r="A540" s="10"/>
      <c r="B540" s="5"/>
      <c r="H540" s="6"/>
      <c r="I540" s="7"/>
      <c r="J540" s="8"/>
      <c r="K540" s="6"/>
      <c r="L540" s="8"/>
      <c r="N540" s="8"/>
    </row>
    <row r="541">
      <c r="A541" s="10"/>
      <c r="B541" s="5"/>
      <c r="H541" s="6"/>
      <c r="I541" s="7"/>
      <c r="J541" s="8"/>
      <c r="K541" s="6"/>
      <c r="L541" s="8"/>
      <c r="N541" s="8"/>
    </row>
    <row r="542">
      <c r="A542" s="10"/>
      <c r="B542" s="5"/>
      <c r="H542" s="6"/>
      <c r="I542" s="7"/>
      <c r="J542" s="8"/>
      <c r="K542" s="6"/>
      <c r="L542" s="8"/>
      <c r="N542" s="8"/>
    </row>
    <row r="543">
      <c r="A543" s="10"/>
      <c r="B543" s="5"/>
      <c r="H543" s="6"/>
      <c r="I543" s="7"/>
      <c r="J543" s="8"/>
      <c r="K543" s="6"/>
      <c r="L543" s="8"/>
      <c r="N543" s="8"/>
    </row>
    <row r="544">
      <c r="A544" s="10"/>
      <c r="B544" s="5"/>
      <c r="H544" s="6"/>
      <c r="I544" s="7"/>
      <c r="J544" s="8"/>
      <c r="K544" s="6"/>
      <c r="L544" s="8"/>
      <c r="N544" s="8"/>
    </row>
    <row r="545">
      <c r="A545" s="10"/>
      <c r="B545" s="5"/>
      <c r="H545" s="6"/>
      <c r="I545" s="7"/>
      <c r="J545" s="8"/>
      <c r="K545" s="6"/>
      <c r="L545" s="8"/>
      <c r="N545" s="8"/>
    </row>
    <row r="546">
      <c r="A546" s="10"/>
      <c r="B546" s="5"/>
      <c r="H546" s="6"/>
      <c r="I546" s="7"/>
      <c r="J546" s="8"/>
      <c r="K546" s="6"/>
      <c r="L546" s="8"/>
      <c r="N546" s="8"/>
    </row>
    <row r="547">
      <c r="A547" s="10"/>
      <c r="B547" s="5"/>
      <c r="H547" s="6"/>
      <c r="I547" s="7"/>
      <c r="J547" s="8"/>
      <c r="K547" s="6"/>
      <c r="L547" s="8"/>
      <c r="N547" s="8"/>
    </row>
    <row r="548">
      <c r="A548" s="10"/>
      <c r="B548" s="5"/>
      <c r="H548" s="6"/>
      <c r="I548" s="7"/>
      <c r="J548" s="8"/>
      <c r="K548" s="6"/>
      <c r="L548" s="8"/>
      <c r="N548" s="8"/>
    </row>
    <row r="549">
      <c r="A549" s="10"/>
      <c r="B549" s="5"/>
      <c r="H549" s="6"/>
      <c r="I549" s="7"/>
      <c r="J549" s="8"/>
      <c r="K549" s="6"/>
      <c r="L549" s="8"/>
      <c r="N549" s="8"/>
    </row>
    <row r="550">
      <c r="A550" s="10"/>
      <c r="B550" s="5"/>
      <c r="H550" s="6"/>
      <c r="I550" s="7"/>
      <c r="J550" s="8"/>
      <c r="K550" s="6"/>
      <c r="L550" s="8"/>
      <c r="N550" s="8"/>
    </row>
    <row r="551">
      <c r="A551" s="10"/>
      <c r="B551" s="5"/>
      <c r="H551" s="6"/>
      <c r="I551" s="7"/>
      <c r="J551" s="8"/>
      <c r="K551" s="6"/>
      <c r="L551" s="8"/>
      <c r="N551" s="8"/>
    </row>
    <row r="552">
      <c r="A552" s="10"/>
      <c r="B552" s="5"/>
      <c r="H552" s="6"/>
      <c r="I552" s="7"/>
      <c r="J552" s="8"/>
      <c r="K552" s="6"/>
      <c r="L552" s="8"/>
      <c r="N552" s="8"/>
    </row>
    <row r="553">
      <c r="A553" s="10"/>
      <c r="B553" s="5"/>
      <c r="H553" s="6"/>
      <c r="I553" s="7"/>
      <c r="J553" s="8"/>
      <c r="K553" s="6"/>
      <c r="L553" s="8"/>
      <c r="N553" s="8"/>
    </row>
    <row r="554">
      <c r="A554" s="10"/>
      <c r="B554" s="5"/>
      <c r="H554" s="6"/>
      <c r="I554" s="7"/>
      <c r="J554" s="8"/>
      <c r="K554" s="6"/>
      <c r="L554" s="8"/>
      <c r="N554" s="8"/>
    </row>
    <row r="555">
      <c r="A555" s="10"/>
      <c r="B555" s="5"/>
      <c r="H555" s="6"/>
      <c r="I555" s="7"/>
      <c r="J555" s="8"/>
      <c r="K555" s="6"/>
      <c r="L555" s="8"/>
      <c r="N555" s="8"/>
    </row>
    <row r="556">
      <c r="A556" s="10"/>
      <c r="B556" s="5"/>
      <c r="H556" s="6"/>
      <c r="I556" s="7"/>
      <c r="J556" s="8"/>
      <c r="K556" s="6"/>
      <c r="L556" s="8"/>
      <c r="N556" s="8"/>
    </row>
    <row r="557">
      <c r="A557" s="10"/>
      <c r="B557" s="5"/>
      <c r="H557" s="6"/>
      <c r="I557" s="7"/>
      <c r="J557" s="8"/>
      <c r="K557" s="6"/>
      <c r="L557" s="8"/>
      <c r="N557" s="8"/>
    </row>
    <row r="558">
      <c r="A558" s="10"/>
      <c r="B558" s="5"/>
      <c r="H558" s="6"/>
      <c r="I558" s="7"/>
      <c r="J558" s="8"/>
      <c r="K558" s="6"/>
      <c r="L558" s="8"/>
      <c r="N558" s="8"/>
    </row>
    <row r="559">
      <c r="A559" s="10"/>
      <c r="B559" s="5"/>
      <c r="H559" s="6"/>
      <c r="I559" s="7"/>
      <c r="J559" s="8"/>
      <c r="K559" s="6"/>
      <c r="L559" s="8"/>
      <c r="N559" s="8"/>
    </row>
    <row r="560">
      <c r="A560" s="10"/>
      <c r="B560" s="5"/>
      <c r="H560" s="6"/>
      <c r="I560" s="7"/>
      <c r="J560" s="8"/>
      <c r="K560" s="6"/>
      <c r="L560" s="8"/>
      <c r="N560" s="8"/>
    </row>
    <row r="561">
      <c r="A561" s="10"/>
      <c r="B561" s="5"/>
      <c r="H561" s="6"/>
      <c r="I561" s="7"/>
      <c r="J561" s="8"/>
      <c r="K561" s="6"/>
      <c r="L561" s="8"/>
      <c r="N561" s="8"/>
    </row>
    <row r="562">
      <c r="A562" s="10"/>
      <c r="B562" s="5"/>
      <c r="H562" s="6"/>
      <c r="I562" s="7"/>
      <c r="J562" s="8"/>
      <c r="K562" s="6"/>
      <c r="L562" s="8"/>
      <c r="N562" s="8"/>
    </row>
    <row r="563">
      <c r="A563" s="10"/>
      <c r="B563" s="5"/>
      <c r="H563" s="6"/>
      <c r="I563" s="7"/>
      <c r="J563" s="8"/>
      <c r="K563" s="6"/>
      <c r="L563" s="8"/>
      <c r="N563" s="8"/>
    </row>
    <row r="564">
      <c r="A564" s="10"/>
      <c r="B564" s="5"/>
      <c r="H564" s="6"/>
      <c r="I564" s="7"/>
      <c r="J564" s="8"/>
      <c r="K564" s="6"/>
      <c r="L564" s="8"/>
      <c r="N564" s="8"/>
    </row>
    <row r="565">
      <c r="A565" s="10"/>
      <c r="B565" s="5"/>
      <c r="H565" s="6"/>
      <c r="I565" s="7"/>
      <c r="J565" s="8"/>
      <c r="K565" s="6"/>
      <c r="L565" s="8"/>
      <c r="N565" s="8"/>
    </row>
    <row r="566">
      <c r="A566" s="10"/>
      <c r="B566" s="5"/>
      <c r="H566" s="6"/>
      <c r="I566" s="7"/>
      <c r="J566" s="8"/>
      <c r="K566" s="6"/>
      <c r="L566" s="8"/>
      <c r="N566" s="8"/>
    </row>
    <row r="567">
      <c r="A567" s="10"/>
      <c r="B567" s="5"/>
      <c r="H567" s="6"/>
      <c r="I567" s="7"/>
      <c r="J567" s="8"/>
      <c r="K567" s="6"/>
      <c r="L567" s="8"/>
      <c r="N567" s="8"/>
    </row>
    <row r="568">
      <c r="A568" s="10"/>
      <c r="B568" s="5"/>
      <c r="H568" s="6"/>
      <c r="I568" s="7"/>
      <c r="J568" s="8"/>
      <c r="K568" s="6"/>
      <c r="L568" s="8"/>
      <c r="N568" s="8"/>
    </row>
    <row r="569">
      <c r="A569" s="10"/>
      <c r="B569" s="5"/>
      <c r="H569" s="6"/>
      <c r="I569" s="7"/>
      <c r="J569" s="8"/>
      <c r="K569" s="6"/>
      <c r="L569" s="8"/>
      <c r="N569" s="8"/>
    </row>
    <row r="570">
      <c r="A570" s="10"/>
      <c r="B570" s="5"/>
      <c r="H570" s="6"/>
      <c r="I570" s="7"/>
      <c r="J570" s="8"/>
      <c r="K570" s="6"/>
      <c r="L570" s="8"/>
      <c r="N570" s="8"/>
    </row>
    <row r="571">
      <c r="A571" s="10"/>
      <c r="B571" s="5"/>
      <c r="H571" s="6"/>
      <c r="I571" s="7"/>
      <c r="J571" s="8"/>
      <c r="K571" s="6"/>
      <c r="L571" s="8"/>
      <c r="N571" s="8"/>
    </row>
    <row r="572">
      <c r="A572" s="10"/>
      <c r="B572" s="5"/>
      <c r="H572" s="6"/>
      <c r="I572" s="7"/>
      <c r="J572" s="8"/>
      <c r="K572" s="6"/>
      <c r="L572" s="8"/>
      <c r="N572" s="8"/>
    </row>
    <row r="573">
      <c r="A573" s="10"/>
      <c r="B573" s="5"/>
      <c r="H573" s="6"/>
      <c r="I573" s="7"/>
      <c r="J573" s="8"/>
      <c r="K573" s="6"/>
      <c r="L573" s="8"/>
      <c r="N573" s="8"/>
    </row>
    <row r="574">
      <c r="A574" s="10"/>
      <c r="B574" s="5"/>
      <c r="H574" s="6"/>
      <c r="I574" s="7"/>
      <c r="J574" s="8"/>
      <c r="K574" s="6"/>
      <c r="L574" s="8"/>
      <c r="N574" s="8"/>
    </row>
    <row r="575">
      <c r="A575" s="10"/>
      <c r="B575" s="5"/>
      <c r="H575" s="6"/>
      <c r="I575" s="7"/>
      <c r="J575" s="8"/>
      <c r="K575" s="6"/>
      <c r="L575" s="8"/>
      <c r="N575" s="8"/>
    </row>
    <row r="576">
      <c r="A576" s="10"/>
      <c r="B576" s="5"/>
      <c r="H576" s="6"/>
      <c r="I576" s="7"/>
      <c r="J576" s="8"/>
      <c r="K576" s="6"/>
      <c r="L576" s="8"/>
      <c r="N576" s="8"/>
    </row>
    <row r="577">
      <c r="A577" s="10"/>
      <c r="B577" s="5"/>
      <c r="H577" s="6"/>
      <c r="I577" s="7"/>
      <c r="J577" s="8"/>
      <c r="K577" s="6"/>
      <c r="L577" s="8"/>
      <c r="N577" s="8"/>
    </row>
    <row r="578">
      <c r="A578" s="10"/>
      <c r="B578" s="5"/>
      <c r="H578" s="6"/>
      <c r="I578" s="7"/>
      <c r="J578" s="8"/>
      <c r="K578" s="6"/>
      <c r="L578" s="8"/>
      <c r="N578" s="8"/>
    </row>
    <row r="579">
      <c r="A579" s="10"/>
      <c r="B579" s="5"/>
      <c r="H579" s="6"/>
      <c r="I579" s="7"/>
      <c r="J579" s="8"/>
      <c r="K579" s="6"/>
      <c r="L579" s="8"/>
      <c r="N579" s="8"/>
    </row>
    <row r="580">
      <c r="A580" s="10"/>
      <c r="B580" s="5"/>
      <c r="H580" s="6"/>
      <c r="I580" s="7"/>
      <c r="J580" s="8"/>
      <c r="K580" s="6"/>
      <c r="L580" s="8"/>
      <c r="N580" s="8"/>
    </row>
    <row r="581">
      <c r="A581" s="10"/>
      <c r="B581" s="5"/>
      <c r="H581" s="6"/>
      <c r="I581" s="7"/>
      <c r="J581" s="8"/>
      <c r="K581" s="6"/>
      <c r="L581" s="8"/>
      <c r="N581" s="8"/>
    </row>
    <row r="582">
      <c r="A582" s="10"/>
      <c r="B582" s="5"/>
      <c r="H582" s="6"/>
      <c r="I582" s="7"/>
      <c r="J582" s="8"/>
      <c r="K582" s="6"/>
      <c r="L582" s="8"/>
      <c r="N582" s="8"/>
    </row>
    <row r="583">
      <c r="A583" s="10"/>
      <c r="B583" s="5"/>
      <c r="H583" s="6"/>
      <c r="I583" s="7"/>
      <c r="J583" s="8"/>
      <c r="K583" s="6"/>
      <c r="L583" s="8"/>
      <c r="N583" s="8"/>
    </row>
    <row r="584">
      <c r="A584" s="10"/>
      <c r="B584" s="5"/>
      <c r="H584" s="6"/>
      <c r="I584" s="7"/>
      <c r="J584" s="8"/>
      <c r="K584" s="6"/>
      <c r="L584" s="8"/>
      <c r="N584" s="8"/>
    </row>
    <row r="585">
      <c r="A585" s="10"/>
      <c r="B585" s="5"/>
      <c r="H585" s="6"/>
      <c r="I585" s="7"/>
      <c r="J585" s="8"/>
      <c r="K585" s="6"/>
      <c r="L585" s="8"/>
      <c r="N585" s="8"/>
    </row>
    <row r="586">
      <c r="A586" s="10"/>
      <c r="B586" s="5"/>
      <c r="H586" s="6"/>
      <c r="I586" s="7"/>
      <c r="J586" s="8"/>
      <c r="K586" s="6"/>
      <c r="L586" s="8"/>
      <c r="N586" s="8"/>
    </row>
    <row r="587">
      <c r="A587" s="10"/>
      <c r="B587" s="5"/>
      <c r="H587" s="6"/>
      <c r="I587" s="7"/>
      <c r="J587" s="8"/>
      <c r="K587" s="6"/>
      <c r="L587" s="8"/>
      <c r="N587" s="8"/>
    </row>
    <row r="588">
      <c r="A588" s="10"/>
      <c r="B588" s="5"/>
      <c r="H588" s="6"/>
      <c r="I588" s="7"/>
      <c r="J588" s="8"/>
      <c r="K588" s="6"/>
      <c r="L588" s="8"/>
      <c r="N588" s="8"/>
    </row>
    <row r="589">
      <c r="A589" s="10"/>
      <c r="B589" s="5"/>
      <c r="H589" s="6"/>
      <c r="I589" s="7"/>
      <c r="J589" s="8"/>
      <c r="K589" s="6"/>
      <c r="L589" s="8"/>
      <c r="N589" s="8"/>
    </row>
    <row r="590">
      <c r="A590" s="10"/>
      <c r="B590" s="5"/>
      <c r="H590" s="6"/>
      <c r="I590" s="7"/>
      <c r="J590" s="8"/>
      <c r="K590" s="6"/>
      <c r="L590" s="8"/>
      <c r="N590" s="8"/>
    </row>
    <row r="591">
      <c r="A591" s="10"/>
      <c r="B591" s="5"/>
      <c r="H591" s="6"/>
      <c r="I591" s="7"/>
      <c r="J591" s="8"/>
      <c r="K591" s="6"/>
      <c r="L591" s="8"/>
      <c r="N591" s="8"/>
    </row>
    <row r="592">
      <c r="A592" s="10"/>
      <c r="B592" s="5"/>
      <c r="H592" s="6"/>
      <c r="I592" s="7"/>
      <c r="J592" s="8"/>
      <c r="K592" s="6"/>
      <c r="L592" s="8"/>
      <c r="N592" s="8"/>
    </row>
    <row r="593">
      <c r="A593" s="10"/>
      <c r="B593" s="5"/>
      <c r="H593" s="6"/>
      <c r="I593" s="7"/>
      <c r="J593" s="8"/>
      <c r="K593" s="6"/>
      <c r="L593" s="8"/>
      <c r="N593" s="8"/>
    </row>
    <row r="594">
      <c r="A594" s="10"/>
      <c r="B594" s="5"/>
      <c r="H594" s="6"/>
      <c r="I594" s="7"/>
      <c r="J594" s="8"/>
      <c r="K594" s="6"/>
      <c r="L594" s="8"/>
      <c r="N594" s="8"/>
    </row>
    <row r="595">
      <c r="A595" s="10"/>
      <c r="B595" s="5"/>
      <c r="H595" s="6"/>
      <c r="I595" s="7"/>
      <c r="J595" s="8"/>
      <c r="K595" s="6"/>
      <c r="L595" s="8"/>
      <c r="N595" s="8"/>
    </row>
    <row r="596">
      <c r="A596" s="10"/>
      <c r="B596" s="5"/>
      <c r="H596" s="6"/>
      <c r="I596" s="7"/>
      <c r="J596" s="8"/>
      <c r="K596" s="6"/>
      <c r="L596" s="8"/>
      <c r="N596" s="8"/>
    </row>
    <row r="597">
      <c r="A597" s="10"/>
      <c r="B597" s="5"/>
      <c r="H597" s="6"/>
      <c r="I597" s="7"/>
      <c r="J597" s="8"/>
      <c r="K597" s="6"/>
      <c r="L597" s="8"/>
      <c r="N597" s="8"/>
    </row>
    <row r="598">
      <c r="A598" s="10"/>
      <c r="B598" s="5"/>
      <c r="H598" s="6"/>
      <c r="I598" s="7"/>
      <c r="J598" s="8"/>
      <c r="K598" s="6"/>
      <c r="L598" s="8"/>
      <c r="N598" s="8"/>
    </row>
    <row r="599">
      <c r="A599" s="10"/>
      <c r="B599" s="5"/>
      <c r="H599" s="6"/>
      <c r="I599" s="7"/>
      <c r="J599" s="8"/>
      <c r="K599" s="6"/>
      <c r="L599" s="8"/>
      <c r="N599" s="8"/>
    </row>
    <row r="600">
      <c r="A600" s="10"/>
      <c r="B600" s="5"/>
      <c r="H600" s="6"/>
      <c r="I600" s="7"/>
      <c r="J600" s="8"/>
      <c r="K600" s="6"/>
      <c r="L600" s="8"/>
      <c r="N600" s="8"/>
    </row>
    <row r="601">
      <c r="A601" s="10"/>
      <c r="B601" s="5"/>
      <c r="H601" s="6"/>
      <c r="I601" s="7"/>
      <c r="J601" s="8"/>
      <c r="K601" s="6"/>
      <c r="L601" s="8"/>
      <c r="N601" s="8"/>
    </row>
    <row r="602">
      <c r="A602" s="10"/>
      <c r="B602" s="5"/>
      <c r="H602" s="6"/>
      <c r="I602" s="7"/>
      <c r="J602" s="8"/>
      <c r="K602" s="6"/>
      <c r="L602" s="8"/>
      <c r="N602" s="8"/>
    </row>
    <row r="603">
      <c r="A603" s="10"/>
      <c r="B603" s="5"/>
      <c r="H603" s="6"/>
      <c r="I603" s="7"/>
      <c r="J603" s="8"/>
      <c r="K603" s="6"/>
      <c r="L603" s="8"/>
      <c r="N603" s="8"/>
    </row>
    <row r="604">
      <c r="A604" s="10"/>
      <c r="B604" s="5"/>
      <c r="H604" s="6"/>
      <c r="I604" s="7"/>
      <c r="J604" s="8"/>
      <c r="K604" s="6"/>
      <c r="L604" s="8"/>
      <c r="N604" s="8"/>
    </row>
    <row r="605">
      <c r="A605" s="10"/>
      <c r="B605" s="5"/>
      <c r="H605" s="6"/>
      <c r="I605" s="7"/>
      <c r="J605" s="8"/>
      <c r="K605" s="6"/>
      <c r="L605" s="8"/>
      <c r="N605" s="8"/>
    </row>
    <row r="606">
      <c r="A606" s="10"/>
      <c r="B606" s="5"/>
      <c r="H606" s="6"/>
      <c r="I606" s="7"/>
      <c r="J606" s="8"/>
      <c r="K606" s="6"/>
      <c r="L606" s="8"/>
      <c r="N606" s="8"/>
    </row>
    <row r="607">
      <c r="A607" s="10"/>
      <c r="B607" s="5"/>
      <c r="H607" s="6"/>
      <c r="I607" s="7"/>
      <c r="J607" s="8"/>
      <c r="K607" s="6"/>
      <c r="L607" s="8"/>
      <c r="N607" s="8"/>
    </row>
    <row r="608">
      <c r="A608" s="10"/>
      <c r="B608" s="5"/>
      <c r="H608" s="6"/>
      <c r="I608" s="7"/>
      <c r="J608" s="8"/>
      <c r="K608" s="6"/>
      <c r="L608" s="8"/>
      <c r="N608" s="8"/>
    </row>
    <row r="609">
      <c r="A609" s="10"/>
      <c r="B609" s="5"/>
      <c r="H609" s="6"/>
      <c r="I609" s="7"/>
      <c r="J609" s="8"/>
      <c r="K609" s="6"/>
      <c r="L609" s="8"/>
      <c r="N609" s="8"/>
    </row>
    <row r="610">
      <c r="A610" s="10"/>
      <c r="B610" s="5"/>
      <c r="H610" s="6"/>
      <c r="I610" s="7"/>
      <c r="J610" s="8"/>
      <c r="K610" s="6"/>
      <c r="L610" s="8"/>
      <c r="N610" s="8"/>
    </row>
    <row r="611">
      <c r="A611" s="10"/>
      <c r="B611" s="5"/>
      <c r="H611" s="6"/>
      <c r="I611" s="7"/>
      <c r="J611" s="8"/>
      <c r="K611" s="6"/>
      <c r="L611" s="8"/>
      <c r="N611" s="8"/>
    </row>
    <row r="612">
      <c r="A612" s="10"/>
      <c r="B612" s="5"/>
      <c r="H612" s="6"/>
      <c r="I612" s="7"/>
      <c r="J612" s="8"/>
      <c r="K612" s="6"/>
      <c r="L612" s="8"/>
      <c r="N612" s="8"/>
    </row>
    <row r="613">
      <c r="A613" s="10"/>
      <c r="B613" s="5"/>
      <c r="H613" s="6"/>
      <c r="I613" s="7"/>
      <c r="J613" s="8"/>
      <c r="K613" s="6"/>
      <c r="L613" s="8"/>
      <c r="N613" s="8"/>
    </row>
    <row r="614">
      <c r="A614" s="10"/>
      <c r="B614" s="5"/>
      <c r="H614" s="6"/>
      <c r="I614" s="7"/>
      <c r="J614" s="8"/>
      <c r="K614" s="6"/>
      <c r="L614" s="8"/>
      <c r="N614" s="8"/>
    </row>
    <row r="615">
      <c r="A615" s="10"/>
      <c r="B615" s="5"/>
      <c r="H615" s="6"/>
      <c r="I615" s="7"/>
      <c r="J615" s="8"/>
      <c r="K615" s="6"/>
      <c r="L615" s="8"/>
      <c r="N615" s="8"/>
    </row>
    <row r="616">
      <c r="A616" s="10"/>
      <c r="B616" s="5"/>
      <c r="H616" s="6"/>
      <c r="I616" s="7"/>
      <c r="J616" s="8"/>
      <c r="K616" s="6"/>
      <c r="L616" s="8"/>
      <c r="N616" s="8"/>
    </row>
    <row r="617">
      <c r="A617" s="10"/>
      <c r="B617" s="5"/>
      <c r="H617" s="6"/>
      <c r="I617" s="7"/>
      <c r="J617" s="8"/>
      <c r="K617" s="6"/>
      <c r="L617" s="8"/>
      <c r="N617" s="8"/>
    </row>
    <row r="618">
      <c r="A618" s="10"/>
      <c r="B618" s="5"/>
      <c r="H618" s="6"/>
      <c r="I618" s="7"/>
      <c r="J618" s="8"/>
      <c r="K618" s="6"/>
      <c r="L618" s="8"/>
      <c r="N618" s="8"/>
    </row>
    <row r="619">
      <c r="A619" s="10"/>
      <c r="B619" s="5"/>
      <c r="H619" s="6"/>
      <c r="I619" s="7"/>
      <c r="J619" s="8"/>
      <c r="K619" s="6"/>
      <c r="L619" s="8"/>
      <c r="N619" s="8"/>
    </row>
    <row r="620">
      <c r="A620" s="10"/>
      <c r="B620" s="5"/>
      <c r="H620" s="6"/>
      <c r="I620" s="7"/>
      <c r="J620" s="8"/>
      <c r="K620" s="6"/>
      <c r="L620" s="8"/>
      <c r="N620" s="8"/>
    </row>
    <row r="621">
      <c r="A621" s="10"/>
      <c r="B621" s="5"/>
      <c r="H621" s="6"/>
      <c r="I621" s="7"/>
      <c r="J621" s="8"/>
      <c r="K621" s="6"/>
      <c r="L621" s="8"/>
      <c r="N621" s="8"/>
    </row>
    <row r="622">
      <c r="A622" s="10"/>
      <c r="B622" s="5"/>
      <c r="H622" s="6"/>
      <c r="I622" s="7"/>
      <c r="J622" s="8"/>
      <c r="K622" s="6"/>
      <c r="L622" s="8"/>
      <c r="N622" s="8"/>
    </row>
    <row r="623">
      <c r="A623" s="10"/>
      <c r="B623" s="5"/>
      <c r="H623" s="6"/>
      <c r="I623" s="7"/>
      <c r="J623" s="8"/>
      <c r="K623" s="6"/>
      <c r="L623" s="8"/>
      <c r="N623" s="8"/>
    </row>
    <row r="624">
      <c r="A624" s="10"/>
      <c r="B624" s="5"/>
      <c r="H624" s="6"/>
      <c r="I624" s="7"/>
      <c r="J624" s="8"/>
      <c r="K624" s="6"/>
      <c r="L624" s="8"/>
      <c r="N624" s="8"/>
    </row>
    <row r="625">
      <c r="A625" s="10"/>
      <c r="B625" s="5"/>
      <c r="H625" s="6"/>
      <c r="I625" s="7"/>
      <c r="J625" s="8"/>
      <c r="K625" s="6"/>
      <c r="L625" s="8"/>
      <c r="N625" s="8"/>
    </row>
    <row r="626">
      <c r="A626" s="10"/>
      <c r="B626" s="5"/>
      <c r="H626" s="6"/>
      <c r="I626" s="7"/>
      <c r="J626" s="8"/>
      <c r="K626" s="6"/>
      <c r="L626" s="8"/>
      <c r="N626" s="8"/>
    </row>
    <row r="627">
      <c r="A627" s="10"/>
      <c r="B627" s="5"/>
      <c r="H627" s="6"/>
      <c r="I627" s="7"/>
      <c r="J627" s="8"/>
      <c r="K627" s="6"/>
      <c r="L627" s="8"/>
      <c r="N627" s="8"/>
    </row>
    <row r="628">
      <c r="A628" s="10"/>
      <c r="B628" s="5"/>
      <c r="H628" s="6"/>
      <c r="I628" s="7"/>
      <c r="J628" s="8"/>
      <c r="K628" s="6"/>
      <c r="L628" s="8"/>
      <c r="N628" s="8"/>
    </row>
    <row r="629">
      <c r="A629" s="10"/>
      <c r="B629" s="5"/>
      <c r="H629" s="6"/>
      <c r="I629" s="7"/>
      <c r="J629" s="8"/>
      <c r="K629" s="6"/>
      <c r="L629" s="8"/>
      <c r="N629" s="8"/>
    </row>
    <row r="630">
      <c r="A630" s="10"/>
      <c r="B630" s="5"/>
      <c r="H630" s="6"/>
      <c r="I630" s="7"/>
      <c r="J630" s="8"/>
      <c r="K630" s="6"/>
      <c r="L630" s="8"/>
      <c r="N630" s="8"/>
    </row>
    <row r="631">
      <c r="A631" s="10"/>
      <c r="B631" s="5"/>
      <c r="H631" s="6"/>
      <c r="I631" s="7"/>
      <c r="J631" s="8"/>
      <c r="K631" s="6"/>
      <c r="L631" s="8"/>
      <c r="N631" s="8"/>
    </row>
    <row r="632">
      <c r="A632" s="10"/>
      <c r="B632" s="5"/>
      <c r="H632" s="6"/>
      <c r="I632" s="7"/>
      <c r="J632" s="8"/>
      <c r="K632" s="6"/>
      <c r="L632" s="8"/>
      <c r="N632" s="8"/>
    </row>
    <row r="633">
      <c r="A633" s="10"/>
      <c r="B633" s="5"/>
      <c r="H633" s="6"/>
      <c r="I633" s="7"/>
      <c r="J633" s="8"/>
      <c r="K633" s="6"/>
      <c r="L633" s="8"/>
      <c r="N633" s="8"/>
    </row>
    <row r="634">
      <c r="A634" s="10"/>
      <c r="B634" s="5"/>
      <c r="H634" s="6"/>
      <c r="I634" s="7"/>
      <c r="J634" s="8"/>
      <c r="K634" s="6"/>
      <c r="L634" s="8"/>
      <c r="N634" s="8"/>
    </row>
    <row r="635">
      <c r="A635" s="10"/>
      <c r="B635" s="5"/>
      <c r="H635" s="6"/>
      <c r="I635" s="7"/>
      <c r="J635" s="8"/>
      <c r="K635" s="6"/>
      <c r="L635" s="8"/>
      <c r="N635" s="8"/>
    </row>
    <row r="636">
      <c r="A636" s="10"/>
      <c r="B636" s="5"/>
      <c r="H636" s="6"/>
      <c r="I636" s="7"/>
      <c r="J636" s="8"/>
      <c r="K636" s="6"/>
      <c r="L636" s="8"/>
      <c r="N636" s="8"/>
    </row>
    <row r="637">
      <c r="A637" s="10"/>
      <c r="B637" s="5"/>
      <c r="H637" s="6"/>
      <c r="I637" s="7"/>
      <c r="J637" s="8"/>
      <c r="K637" s="6"/>
      <c r="L637" s="8"/>
      <c r="N637" s="8"/>
    </row>
    <row r="638">
      <c r="A638" s="10"/>
      <c r="B638" s="5"/>
      <c r="H638" s="6"/>
      <c r="I638" s="7"/>
      <c r="J638" s="8"/>
      <c r="K638" s="6"/>
      <c r="L638" s="8"/>
      <c r="N638" s="8"/>
    </row>
    <row r="639">
      <c r="A639" s="10"/>
      <c r="B639" s="5"/>
      <c r="H639" s="6"/>
      <c r="I639" s="7"/>
      <c r="J639" s="8"/>
      <c r="K639" s="6"/>
      <c r="L639" s="8"/>
      <c r="N639" s="8"/>
    </row>
    <row r="640">
      <c r="A640" s="10"/>
      <c r="B640" s="5"/>
      <c r="H640" s="6"/>
      <c r="I640" s="7"/>
      <c r="J640" s="8"/>
      <c r="K640" s="6"/>
      <c r="L640" s="8"/>
      <c r="N640" s="8"/>
    </row>
    <row r="641">
      <c r="A641" s="10"/>
      <c r="B641" s="5"/>
      <c r="H641" s="6"/>
      <c r="I641" s="7"/>
      <c r="J641" s="8"/>
      <c r="K641" s="6"/>
      <c r="L641" s="8"/>
      <c r="N641" s="8"/>
    </row>
    <row r="642">
      <c r="A642" s="10"/>
      <c r="B642" s="5"/>
      <c r="H642" s="6"/>
      <c r="I642" s="7"/>
      <c r="J642" s="8"/>
      <c r="K642" s="6"/>
      <c r="L642" s="8"/>
      <c r="N642" s="8"/>
    </row>
    <row r="643">
      <c r="A643" s="10"/>
      <c r="B643" s="5"/>
      <c r="H643" s="6"/>
      <c r="I643" s="7"/>
      <c r="J643" s="8"/>
      <c r="K643" s="6"/>
      <c r="L643" s="8"/>
      <c r="N643" s="8"/>
    </row>
    <row r="644">
      <c r="A644" s="10"/>
      <c r="B644" s="5"/>
      <c r="H644" s="6"/>
      <c r="I644" s="7"/>
      <c r="J644" s="8"/>
      <c r="K644" s="6"/>
      <c r="L644" s="8"/>
      <c r="N644" s="8"/>
    </row>
    <row r="645">
      <c r="A645" s="10"/>
      <c r="B645" s="5"/>
      <c r="H645" s="6"/>
      <c r="I645" s="7"/>
      <c r="J645" s="8"/>
      <c r="K645" s="6"/>
      <c r="L645" s="8"/>
      <c r="N645" s="8"/>
    </row>
    <row r="646">
      <c r="A646" s="10"/>
      <c r="B646" s="5"/>
      <c r="H646" s="6"/>
      <c r="I646" s="7"/>
      <c r="J646" s="8"/>
      <c r="K646" s="6"/>
      <c r="L646" s="8"/>
      <c r="N646" s="8"/>
    </row>
    <row r="647">
      <c r="A647" s="10"/>
      <c r="B647" s="5"/>
      <c r="H647" s="6"/>
      <c r="I647" s="7"/>
      <c r="J647" s="8"/>
      <c r="K647" s="6"/>
      <c r="L647" s="8"/>
      <c r="N647" s="8"/>
    </row>
    <row r="648">
      <c r="A648" s="10"/>
      <c r="B648" s="5"/>
      <c r="H648" s="6"/>
      <c r="I648" s="7"/>
      <c r="J648" s="8"/>
      <c r="K648" s="6"/>
      <c r="L648" s="8"/>
      <c r="N648" s="8"/>
    </row>
    <row r="649">
      <c r="A649" s="10"/>
      <c r="B649" s="5"/>
      <c r="H649" s="6"/>
      <c r="I649" s="7"/>
      <c r="J649" s="8"/>
      <c r="K649" s="6"/>
      <c r="L649" s="8"/>
      <c r="N649" s="8"/>
    </row>
    <row r="650">
      <c r="A650" s="10"/>
      <c r="B650" s="5"/>
      <c r="H650" s="6"/>
      <c r="I650" s="7"/>
      <c r="J650" s="8"/>
      <c r="K650" s="6"/>
      <c r="L650" s="8"/>
      <c r="N650" s="8"/>
    </row>
    <row r="651">
      <c r="A651" s="10"/>
      <c r="B651" s="5"/>
      <c r="H651" s="6"/>
      <c r="I651" s="7"/>
      <c r="J651" s="8"/>
      <c r="K651" s="6"/>
      <c r="L651" s="8"/>
      <c r="N651" s="8"/>
    </row>
    <row r="652">
      <c r="A652" s="10"/>
      <c r="B652" s="5"/>
      <c r="H652" s="6"/>
      <c r="I652" s="7"/>
      <c r="J652" s="8"/>
      <c r="K652" s="6"/>
      <c r="L652" s="8"/>
      <c r="N652" s="8"/>
    </row>
    <row r="653">
      <c r="A653" s="10"/>
      <c r="B653" s="5"/>
      <c r="H653" s="6"/>
      <c r="I653" s="7"/>
      <c r="J653" s="8"/>
      <c r="K653" s="6"/>
      <c r="L653" s="8"/>
      <c r="N653" s="8"/>
    </row>
    <row r="654">
      <c r="A654" s="10"/>
      <c r="B654" s="5"/>
      <c r="H654" s="6"/>
      <c r="I654" s="7"/>
      <c r="J654" s="8"/>
      <c r="K654" s="6"/>
      <c r="L654" s="8"/>
      <c r="N654" s="8"/>
    </row>
    <row r="655">
      <c r="A655" s="10"/>
      <c r="B655" s="5"/>
      <c r="H655" s="6"/>
      <c r="I655" s="7"/>
      <c r="J655" s="8"/>
      <c r="K655" s="6"/>
      <c r="L655" s="8"/>
      <c r="N655" s="8"/>
    </row>
    <row r="656">
      <c r="A656" s="10"/>
      <c r="B656" s="5"/>
      <c r="H656" s="6"/>
      <c r="I656" s="7"/>
      <c r="J656" s="8"/>
      <c r="K656" s="6"/>
      <c r="L656" s="8"/>
      <c r="N656" s="8"/>
    </row>
    <row r="657">
      <c r="A657" s="10"/>
      <c r="B657" s="5"/>
      <c r="H657" s="6"/>
      <c r="I657" s="7"/>
      <c r="J657" s="8"/>
      <c r="K657" s="6"/>
      <c r="L657" s="8"/>
      <c r="N657" s="8"/>
    </row>
    <row r="658">
      <c r="A658" s="10"/>
      <c r="B658" s="5"/>
      <c r="H658" s="6"/>
      <c r="I658" s="7"/>
      <c r="J658" s="8"/>
      <c r="K658" s="6"/>
      <c r="L658" s="8"/>
      <c r="N658" s="8"/>
    </row>
    <row r="659">
      <c r="A659" s="10"/>
      <c r="B659" s="5"/>
      <c r="H659" s="6"/>
      <c r="I659" s="7"/>
      <c r="J659" s="8"/>
      <c r="K659" s="6"/>
      <c r="L659" s="8"/>
      <c r="N659" s="8"/>
    </row>
    <row r="660">
      <c r="A660" s="10"/>
      <c r="B660" s="5"/>
      <c r="H660" s="6"/>
      <c r="I660" s="7"/>
      <c r="J660" s="8"/>
      <c r="K660" s="6"/>
      <c r="L660" s="8"/>
      <c r="N660" s="8"/>
    </row>
    <row r="661">
      <c r="A661" s="10"/>
      <c r="B661" s="5"/>
      <c r="H661" s="6"/>
      <c r="I661" s="7"/>
      <c r="J661" s="8"/>
      <c r="K661" s="6"/>
      <c r="L661" s="8"/>
      <c r="N661" s="8"/>
    </row>
    <row r="662">
      <c r="A662" s="10"/>
      <c r="B662" s="5"/>
      <c r="H662" s="6"/>
      <c r="I662" s="7"/>
      <c r="J662" s="8"/>
      <c r="K662" s="6"/>
      <c r="L662" s="8"/>
      <c r="N662" s="8"/>
    </row>
    <row r="663">
      <c r="A663" s="10"/>
      <c r="B663" s="5"/>
      <c r="H663" s="6"/>
      <c r="I663" s="7"/>
      <c r="J663" s="8"/>
      <c r="K663" s="6"/>
      <c r="L663" s="8"/>
      <c r="N663" s="8"/>
    </row>
    <row r="664">
      <c r="A664" s="10"/>
      <c r="B664" s="5"/>
      <c r="H664" s="6"/>
      <c r="I664" s="7"/>
      <c r="J664" s="8"/>
      <c r="K664" s="6"/>
      <c r="L664" s="8"/>
      <c r="N664" s="8"/>
    </row>
    <row r="665">
      <c r="A665" s="10"/>
      <c r="B665" s="5"/>
      <c r="H665" s="6"/>
      <c r="I665" s="7"/>
      <c r="J665" s="8"/>
      <c r="K665" s="6"/>
      <c r="L665" s="8"/>
      <c r="N665" s="8"/>
    </row>
    <row r="666">
      <c r="A666" s="10"/>
      <c r="B666" s="5"/>
      <c r="H666" s="6"/>
      <c r="I666" s="7"/>
      <c r="J666" s="8"/>
      <c r="K666" s="6"/>
      <c r="L666" s="8"/>
      <c r="N666" s="8"/>
    </row>
    <row r="667">
      <c r="A667" s="10"/>
      <c r="B667" s="5"/>
      <c r="H667" s="6"/>
      <c r="I667" s="7"/>
      <c r="J667" s="8"/>
      <c r="K667" s="6"/>
      <c r="L667" s="8"/>
      <c r="N667" s="8"/>
    </row>
    <row r="668">
      <c r="A668" s="10"/>
      <c r="B668" s="5"/>
      <c r="H668" s="6"/>
      <c r="I668" s="7"/>
      <c r="J668" s="8"/>
      <c r="K668" s="6"/>
      <c r="L668" s="8"/>
      <c r="N668" s="8"/>
    </row>
    <row r="669">
      <c r="A669" s="10"/>
      <c r="B669" s="5"/>
      <c r="H669" s="6"/>
      <c r="I669" s="7"/>
      <c r="J669" s="8"/>
      <c r="K669" s="6"/>
      <c r="L669" s="8"/>
      <c r="N669" s="8"/>
    </row>
    <row r="670">
      <c r="A670" s="10"/>
      <c r="B670" s="5"/>
      <c r="H670" s="6"/>
      <c r="I670" s="7"/>
      <c r="J670" s="8"/>
      <c r="K670" s="6"/>
      <c r="L670" s="8"/>
      <c r="N670" s="8"/>
    </row>
    <row r="671">
      <c r="A671" s="10"/>
      <c r="B671" s="5"/>
      <c r="H671" s="6"/>
      <c r="I671" s="7"/>
      <c r="J671" s="8"/>
      <c r="K671" s="6"/>
      <c r="L671" s="8"/>
      <c r="N671" s="8"/>
    </row>
    <row r="672">
      <c r="A672" s="10"/>
      <c r="B672" s="5"/>
      <c r="H672" s="6"/>
      <c r="I672" s="7"/>
      <c r="J672" s="8"/>
      <c r="K672" s="6"/>
      <c r="L672" s="8"/>
      <c r="N672" s="8"/>
    </row>
    <row r="673">
      <c r="A673" s="10"/>
      <c r="B673" s="5"/>
      <c r="H673" s="6"/>
      <c r="I673" s="7"/>
      <c r="J673" s="8"/>
      <c r="K673" s="6"/>
      <c r="L673" s="8"/>
      <c r="N673" s="8"/>
    </row>
    <row r="674">
      <c r="A674" s="10"/>
      <c r="B674" s="5"/>
      <c r="H674" s="6"/>
      <c r="I674" s="7"/>
      <c r="J674" s="8"/>
      <c r="K674" s="6"/>
      <c r="L674" s="8"/>
      <c r="N674" s="8"/>
    </row>
    <row r="675">
      <c r="A675" s="10"/>
      <c r="B675" s="5"/>
      <c r="H675" s="6"/>
      <c r="I675" s="7"/>
      <c r="J675" s="8"/>
      <c r="K675" s="6"/>
      <c r="L675" s="8"/>
      <c r="N675" s="8"/>
    </row>
    <row r="676">
      <c r="A676" s="10"/>
      <c r="B676" s="5"/>
      <c r="H676" s="6"/>
      <c r="I676" s="7"/>
      <c r="J676" s="8"/>
      <c r="K676" s="6"/>
      <c r="L676" s="8"/>
      <c r="N676" s="8"/>
    </row>
    <row r="677">
      <c r="A677" s="10"/>
      <c r="B677" s="5"/>
      <c r="H677" s="6"/>
      <c r="I677" s="7"/>
      <c r="J677" s="8"/>
      <c r="K677" s="6"/>
      <c r="L677" s="8"/>
      <c r="N677" s="8"/>
    </row>
    <row r="678">
      <c r="A678" s="10"/>
      <c r="B678" s="5"/>
      <c r="H678" s="6"/>
      <c r="I678" s="7"/>
      <c r="J678" s="8"/>
      <c r="K678" s="6"/>
      <c r="L678" s="8"/>
      <c r="N678" s="8"/>
    </row>
    <row r="679">
      <c r="A679" s="10"/>
      <c r="B679" s="5"/>
      <c r="H679" s="6"/>
      <c r="I679" s="7"/>
      <c r="J679" s="8"/>
      <c r="K679" s="6"/>
      <c r="L679" s="8"/>
      <c r="N679" s="8"/>
    </row>
    <row r="680">
      <c r="A680" s="10"/>
      <c r="B680" s="5"/>
      <c r="H680" s="6"/>
      <c r="I680" s="7"/>
      <c r="J680" s="8"/>
      <c r="K680" s="6"/>
      <c r="L680" s="8"/>
      <c r="N680" s="8"/>
    </row>
    <row r="681">
      <c r="A681" s="10"/>
      <c r="B681" s="5"/>
      <c r="H681" s="6"/>
      <c r="I681" s="7"/>
      <c r="J681" s="8"/>
      <c r="K681" s="6"/>
      <c r="L681" s="8"/>
      <c r="N681" s="8"/>
    </row>
    <row r="682">
      <c r="A682" s="10"/>
      <c r="B682" s="5"/>
      <c r="H682" s="6"/>
      <c r="I682" s="7"/>
      <c r="J682" s="8"/>
      <c r="K682" s="6"/>
      <c r="L682" s="8"/>
      <c r="N682" s="8"/>
    </row>
    <row r="683">
      <c r="A683" s="10"/>
      <c r="B683" s="5"/>
      <c r="H683" s="6"/>
      <c r="I683" s="7"/>
      <c r="J683" s="8"/>
      <c r="K683" s="6"/>
      <c r="L683" s="8"/>
      <c r="N683" s="8"/>
    </row>
    <row r="684">
      <c r="A684" s="10"/>
      <c r="B684" s="5"/>
      <c r="H684" s="6"/>
      <c r="I684" s="7"/>
      <c r="J684" s="8"/>
      <c r="K684" s="6"/>
      <c r="L684" s="8"/>
      <c r="N684" s="8"/>
    </row>
    <row r="685">
      <c r="A685" s="10"/>
      <c r="B685" s="5"/>
      <c r="H685" s="6"/>
      <c r="I685" s="7"/>
      <c r="J685" s="8"/>
      <c r="K685" s="6"/>
      <c r="L685" s="8"/>
      <c r="N685" s="8"/>
    </row>
    <row r="686">
      <c r="A686" s="10"/>
      <c r="B686" s="5"/>
      <c r="H686" s="6"/>
      <c r="I686" s="7"/>
      <c r="J686" s="8"/>
      <c r="K686" s="6"/>
      <c r="L686" s="8"/>
      <c r="N686" s="8"/>
    </row>
    <row r="687">
      <c r="A687" s="10"/>
      <c r="B687" s="5"/>
      <c r="H687" s="6"/>
      <c r="I687" s="7"/>
      <c r="J687" s="8"/>
      <c r="K687" s="6"/>
      <c r="L687" s="8"/>
      <c r="N687" s="8"/>
    </row>
    <row r="688">
      <c r="A688" s="10"/>
      <c r="B688" s="5"/>
      <c r="H688" s="6"/>
      <c r="I688" s="7"/>
      <c r="J688" s="8"/>
      <c r="K688" s="6"/>
      <c r="L688" s="8"/>
      <c r="N688" s="8"/>
    </row>
    <row r="689">
      <c r="A689" s="10"/>
      <c r="B689" s="5"/>
      <c r="H689" s="6"/>
      <c r="I689" s="7"/>
      <c r="J689" s="8"/>
      <c r="K689" s="6"/>
      <c r="L689" s="8"/>
      <c r="N689" s="8"/>
    </row>
    <row r="690">
      <c r="A690" s="10"/>
      <c r="B690" s="5"/>
      <c r="H690" s="6"/>
      <c r="I690" s="7"/>
      <c r="J690" s="8"/>
      <c r="K690" s="6"/>
      <c r="L690" s="8"/>
      <c r="N690" s="8"/>
    </row>
    <row r="691">
      <c r="A691" s="10"/>
      <c r="B691" s="5"/>
      <c r="H691" s="6"/>
      <c r="I691" s="7"/>
      <c r="J691" s="8"/>
      <c r="K691" s="6"/>
      <c r="L691" s="8"/>
      <c r="N691" s="8"/>
    </row>
    <row r="692">
      <c r="A692" s="10"/>
      <c r="B692" s="5"/>
      <c r="H692" s="6"/>
      <c r="I692" s="7"/>
      <c r="J692" s="8"/>
      <c r="K692" s="6"/>
      <c r="L692" s="8"/>
      <c r="N692" s="8"/>
    </row>
    <row r="693">
      <c r="A693" s="10"/>
      <c r="B693" s="5"/>
      <c r="H693" s="6"/>
      <c r="I693" s="7"/>
      <c r="J693" s="8"/>
      <c r="K693" s="6"/>
      <c r="L693" s="8"/>
      <c r="N693" s="8"/>
    </row>
    <row r="694">
      <c r="A694" s="10"/>
      <c r="B694" s="5"/>
      <c r="H694" s="6"/>
      <c r="I694" s="7"/>
      <c r="J694" s="8"/>
      <c r="K694" s="6"/>
      <c r="L694" s="8"/>
      <c r="N694" s="8"/>
    </row>
    <row r="695">
      <c r="A695" s="10"/>
      <c r="B695" s="5"/>
      <c r="H695" s="6"/>
      <c r="I695" s="7"/>
      <c r="J695" s="8"/>
      <c r="K695" s="6"/>
      <c r="L695" s="8"/>
      <c r="N695" s="8"/>
    </row>
    <row r="696">
      <c r="A696" s="10"/>
      <c r="B696" s="5"/>
      <c r="H696" s="6"/>
      <c r="I696" s="7"/>
      <c r="J696" s="8"/>
      <c r="K696" s="6"/>
      <c r="L696" s="8"/>
      <c r="N696" s="8"/>
    </row>
    <row r="697">
      <c r="A697" s="10"/>
      <c r="B697" s="5"/>
      <c r="H697" s="6"/>
      <c r="I697" s="7"/>
      <c r="J697" s="8"/>
      <c r="K697" s="6"/>
      <c r="L697" s="8"/>
      <c r="N697" s="8"/>
    </row>
    <row r="698">
      <c r="A698" s="10"/>
      <c r="B698" s="5"/>
      <c r="H698" s="6"/>
      <c r="I698" s="7"/>
      <c r="J698" s="8"/>
      <c r="K698" s="6"/>
      <c r="L698" s="8"/>
      <c r="N698" s="8"/>
    </row>
    <row r="699">
      <c r="A699" s="10"/>
      <c r="B699" s="5"/>
      <c r="H699" s="6"/>
      <c r="I699" s="7"/>
      <c r="J699" s="8"/>
      <c r="K699" s="6"/>
      <c r="L699" s="8"/>
      <c r="N699" s="8"/>
    </row>
    <row r="700">
      <c r="A700" s="10"/>
      <c r="B700" s="5"/>
      <c r="H700" s="6"/>
      <c r="I700" s="7"/>
      <c r="J700" s="8"/>
      <c r="K700" s="6"/>
      <c r="L700" s="8"/>
      <c r="N700" s="8"/>
    </row>
    <row r="701">
      <c r="A701" s="10"/>
      <c r="B701" s="5"/>
      <c r="H701" s="6"/>
      <c r="I701" s="7"/>
      <c r="J701" s="8"/>
      <c r="K701" s="6"/>
      <c r="L701" s="8"/>
      <c r="N701" s="8"/>
    </row>
    <row r="702">
      <c r="A702" s="10"/>
      <c r="B702" s="5"/>
      <c r="H702" s="6"/>
      <c r="I702" s="7"/>
      <c r="J702" s="8"/>
      <c r="K702" s="6"/>
      <c r="L702" s="8"/>
      <c r="N702" s="8"/>
    </row>
    <row r="703">
      <c r="A703" s="10"/>
      <c r="B703" s="5"/>
      <c r="H703" s="6"/>
      <c r="I703" s="7"/>
      <c r="J703" s="8"/>
      <c r="K703" s="6"/>
      <c r="L703" s="8"/>
      <c r="N703" s="8"/>
    </row>
    <row r="704">
      <c r="A704" s="10"/>
      <c r="B704" s="5"/>
      <c r="H704" s="6"/>
      <c r="I704" s="7"/>
      <c r="J704" s="8"/>
      <c r="K704" s="6"/>
      <c r="L704" s="8"/>
      <c r="N704" s="8"/>
    </row>
    <row r="705">
      <c r="A705" s="10"/>
      <c r="B705" s="5"/>
      <c r="H705" s="6"/>
      <c r="I705" s="7"/>
      <c r="J705" s="8"/>
      <c r="K705" s="6"/>
      <c r="L705" s="8"/>
      <c r="N705" s="8"/>
    </row>
    <row r="706">
      <c r="A706" s="10"/>
      <c r="B706" s="5"/>
      <c r="H706" s="6"/>
      <c r="I706" s="7"/>
      <c r="J706" s="8"/>
      <c r="K706" s="6"/>
      <c r="L706" s="8"/>
      <c r="N706" s="8"/>
    </row>
    <row r="707">
      <c r="A707" s="10"/>
      <c r="B707" s="5"/>
      <c r="H707" s="6"/>
      <c r="I707" s="7"/>
      <c r="J707" s="8"/>
      <c r="K707" s="6"/>
      <c r="L707" s="8"/>
      <c r="N707" s="8"/>
    </row>
    <row r="708">
      <c r="A708" s="10"/>
      <c r="B708" s="5"/>
      <c r="H708" s="6"/>
      <c r="I708" s="7"/>
      <c r="J708" s="8"/>
      <c r="K708" s="6"/>
      <c r="L708" s="8"/>
      <c r="N708" s="8"/>
    </row>
    <row r="709">
      <c r="A709" s="10"/>
      <c r="B709" s="5"/>
      <c r="H709" s="6"/>
      <c r="I709" s="7"/>
      <c r="J709" s="8"/>
      <c r="K709" s="6"/>
      <c r="L709" s="8"/>
      <c r="N709" s="8"/>
    </row>
    <row r="710">
      <c r="A710" s="10"/>
      <c r="B710" s="5"/>
      <c r="H710" s="6"/>
      <c r="I710" s="7"/>
      <c r="J710" s="8"/>
      <c r="K710" s="6"/>
      <c r="L710" s="8"/>
      <c r="N710" s="8"/>
    </row>
    <row r="711">
      <c r="A711" s="10"/>
      <c r="B711" s="5"/>
      <c r="H711" s="6"/>
      <c r="I711" s="7"/>
      <c r="J711" s="8"/>
      <c r="K711" s="6"/>
      <c r="L711" s="8"/>
      <c r="N711" s="8"/>
    </row>
    <row r="712">
      <c r="A712" s="10"/>
      <c r="B712" s="5"/>
      <c r="H712" s="6"/>
      <c r="I712" s="7"/>
      <c r="J712" s="8"/>
      <c r="K712" s="6"/>
      <c r="L712" s="8"/>
      <c r="N712" s="8"/>
    </row>
    <row r="713">
      <c r="A713" s="10"/>
      <c r="B713" s="5"/>
      <c r="H713" s="6"/>
      <c r="I713" s="7"/>
      <c r="J713" s="8"/>
      <c r="K713" s="6"/>
      <c r="L713" s="8"/>
      <c r="N713" s="8"/>
    </row>
    <row r="714">
      <c r="A714" s="10"/>
      <c r="B714" s="5"/>
      <c r="H714" s="6"/>
      <c r="I714" s="7"/>
      <c r="J714" s="8"/>
      <c r="K714" s="6"/>
      <c r="L714" s="8"/>
      <c r="N714" s="8"/>
    </row>
    <row r="715">
      <c r="A715" s="10"/>
      <c r="B715" s="5"/>
      <c r="H715" s="6"/>
      <c r="I715" s="7"/>
      <c r="J715" s="8"/>
      <c r="K715" s="6"/>
      <c r="L715" s="8"/>
      <c r="N715" s="8"/>
    </row>
    <row r="716">
      <c r="A716" s="10"/>
      <c r="B716" s="5"/>
      <c r="H716" s="6"/>
      <c r="I716" s="7"/>
      <c r="J716" s="8"/>
      <c r="K716" s="6"/>
      <c r="L716" s="8"/>
      <c r="N716" s="8"/>
    </row>
    <row r="717">
      <c r="A717" s="10"/>
      <c r="B717" s="5"/>
      <c r="H717" s="6"/>
      <c r="I717" s="7"/>
      <c r="J717" s="8"/>
      <c r="K717" s="6"/>
      <c r="L717" s="8"/>
      <c r="N717" s="8"/>
    </row>
    <row r="718">
      <c r="A718" s="10"/>
      <c r="B718" s="5"/>
      <c r="H718" s="6"/>
      <c r="I718" s="7"/>
      <c r="J718" s="8"/>
      <c r="K718" s="6"/>
      <c r="L718" s="8"/>
      <c r="N718" s="8"/>
    </row>
    <row r="719">
      <c r="A719" s="10"/>
      <c r="B719" s="5"/>
      <c r="H719" s="6"/>
      <c r="I719" s="7"/>
      <c r="J719" s="8"/>
      <c r="K719" s="6"/>
      <c r="L719" s="8"/>
      <c r="N719" s="8"/>
    </row>
    <row r="720">
      <c r="A720" s="10"/>
      <c r="B720" s="5"/>
      <c r="H720" s="6"/>
      <c r="I720" s="7"/>
      <c r="J720" s="8"/>
      <c r="K720" s="6"/>
      <c r="L720" s="8"/>
      <c r="N720" s="8"/>
    </row>
    <row r="721">
      <c r="A721" s="10"/>
      <c r="B721" s="5"/>
      <c r="H721" s="6"/>
      <c r="I721" s="7"/>
      <c r="J721" s="8"/>
      <c r="K721" s="6"/>
      <c r="L721" s="8"/>
      <c r="N721" s="8"/>
    </row>
    <row r="722">
      <c r="A722" s="10"/>
      <c r="B722" s="5"/>
      <c r="H722" s="6"/>
      <c r="I722" s="7"/>
      <c r="J722" s="8"/>
      <c r="K722" s="6"/>
      <c r="L722" s="8"/>
      <c r="N722" s="8"/>
    </row>
    <row r="723">
      <c r="A723" s="10"/>
      <c r="B723" s="5"/>
      <c r="H723" s="6"/>
      <c r="I723" s="7"/>
      <c r="J723" s="8"/>
      <c r="K723" s="6"/>
      <c r="L723" s="8"/>
      <c r="N723" s="8"/>
    </row>
    <row r="724">
      <c r="A724" s="10"/>
      <c r="B724" s="5"/>
      <c r="H724" s="6"/>
      <c r="I724" s="7"/>
      <c r="J724" s="8"/>
      <c r="K724" s="6"/>
      <c r="L724" s="8"/>
      <c r="N724" s="8"/>
    </row>
    <row r="725">
      <c r="A725" s="10"/>
      <c r="B725" s="5"/>
      <c r="H725" s="6"/>
      <c r="I725" s="7"/>
      <c r="J725" s="8"/>
      <c r="K725" s="6"/>
      <c r="L725" s="8"/>
      <c r="N725" s="8"/>
    </row>
    <row r="726">
      <c r="A726" s="10"/>
      <c r="B726" s="5"/>
      <c r="H726" s="6"/>
      <c r="I726" s="7"/>
      <c r="J726" s="8"/>
      <c r="K726" s="6"/>
      <c r="L726" s="8"/>
      <c r="N726" s="8"/>
    </row>
    <row r="727">
      <c r="A727" s="10"/>
      <c r="B727" s="5"/>
      <c r="H727" s="6"/>
      <c r="I727" s="7"/>
      <c r="J727" s="8"/>
      <c r="K727" s="6"/>
      <c r="L727" s="8"/>
      <c r="N727" s="8"/>
    </row>
    <row r="728">
      <c r="A728" s="10"/>
      <c r="B728" s="5"/>
      <c r="H728" s="6"/>
      <c r="I728" s="7"/>
      <c r="J728" s="8"/>
      <c r="K728" s="6"/>
      <c r="L728" s="8"/>
      <c r="N728" s="8"/>
    </row>
    <row r="729">
      <c r="A729" s="10"/>
      <c r="B729" s="5"/>
      <c r="H729" s="6"/>
      <c r="I729" s="7"/>
      <c r="J729" s="8"/>
      <c r="K729" s="6"/>
      <c r="L729" s="8"/>
      <c r="N729" s="8"/>
    </row>
    <row r="730">
      <c r="A730" s="10"/>
      <c r="B730" s="5"/>
      <c r="H730" s="6"/>
      <c r="I730" s="7"/>
      <c r="J730" s="8"/>
      <c r="K730" s="6"/>
      <c r="L730" s="8"/>
      <c r="N730" s="8"/>
    </row>
    <row r="731">
      <c r="A731" s="10"/>
      <c r="B731" s="5"/>
      <c r="H731" s="6"/>
      <c r="I731" s="7"/>
      <c r="J731" s="8"/>
      <c r="K731" s="6"/>
      <c r="L731" s="8"/>
      <c r="N731" s="8"/>
    </row>
    <row r="732">
      <c r="A732" s="10"/>
      <c r="B732" s="5"/>
      <c r="H732" s="6"/>
      <c r="I732" s="7"/>
      <c r="J732" s="8"/>
      <c r="K732" s="6"/>
      <c r="L732" s="8"/>
      <c r="N732" s="8"/>
    </row>
    <row r="733">
      <c r="A733" s="10"/>
      <c r="B733" s="5"/>
      <c r="H733" s="6"/>
      <c r="I733" s="7"/>
      <c r="J733" s="8"/>
      <c r="K733" s="6"/>
      <c r="L733" s="8"/>
      <c r="N733" s="8"/>
    </row>
    <row r="734">
      <c r="A734" s="10"/>
      <c r="B734" s="5"/>
      <c r="H734" s="6"/>
      <c r="I734" s="7"/>
      <c r="J734" s="8"/>
      <c r="K734" s="6"/>
      <c r="L734" s="8"/>
      <c r="N734" s="8"/>
    </row>
    <row r="735">
      <c r="A735" s="10"/>
      <c r="B735" s="5"/>
      <c r="H735" s="6"/>
      <c r="I735" s="7"/>
      <c r="J735" s="8"/>
      <c r="K735" s="6"/>
      <c r="L735" s="8"/>
      <c r="N735" s="8"/>
    </row>
    <row r="736">
      <c r="A736" s="10"/>
      <c r="B736" s="5"/>
      <c r="H736" s="6"/>
      <c r="I736" s="7"/>
      <c r="J736" s="8"/>
      <c r="K736" s="6"/>
      <c r="L736" s="8"/>
      <c r="N736" s="8"/>
    </row>
    <row r="737">
      <c r="A737" s="10"/>
      <c r="B737" s="5"/>
      <c r="H737" s="6"/>
      <c r="I737" s="7"/>
      <c r="J737" s="8"/>
      <c r="K737" s="6"/>
      <c r="L737" s="8"/>
      <c r="N737" s="8"/>
    </row>
    <row r="738">
      <c r="A738" s="10"/>
      <c r="B738" s="5"/>
      <c r="H738" s="6"/>
      <c r="I738" s="7"/>
      <c r="J738" s="8"/>
      <c r="K738" s="6"/>
      <c r="L738" s="8"/>
      <c r="N738" s="8"/>
    </row>
    <row r="739">
      <c r="A739" s="10"/>
      <c r="B739" s="5"/>
      <c r="H739" s="6"/>
      <c r="I739" s="7"/>
      <c r="J739" s="8"/>
      <c r="K739" s="6"/>
      <c r="L739" s="8"/>
      <c r="N739" s="8"/>
    </row>
    <row r="740">
      <c r="A740" s="10"/>
      <c r="B740" s="5"/>
      <c r="H740" s="6"/>
      <c r="I740" s="7"/>
      <c r="J740" s="8"/>
      <c r="K740" s="6"/>
      <c r="L740" s="8"/>
      <c r="N740" s="8"/>
    </row>
    <row r="741">
      <c r="A741" s="10"/>
      <c r="B741" s="5"/>
      <c r="H741" s="6"/>
      <c r="I741" s="7"/>
      <c r="J741" s="8"/>
      <c r="K741" s="6"/>
      <c r="L741" s="8"/>
      <c r="N741" s="8"/>
    </row>
    <row r="742">
      <c r="A742" s="10"/>
      <c r="B742" s="5"/>
      <c r="H742" s="6"/>
      <c r="I742" s="7"/>
      <c r="J742" s="8"/>
      <c r="K742" s="6"/>
      <c r="L742" s="8"/>
      <c r="N742" s="8"/>
    </row>
    <row r="743">
      <c r="A743" s="10"/>
      <c r="B743" s="5"/>
      <c r="H743" s="6"/>
      <c r="I743" s="7"/>
      <c r="J743" s="8"/>
      <c r="K743" s="6"/>
      <c r="L743" s="8"/>
      <c r="N743" s="8"/>
    </row>
    <row r="744">
      <c r="A744" s="10"/>
      <c r="B744" s="5"/>
      <c r="H744" s="6"/>
      <c r="I744" s="7"/>
      <c r="J744" s="8"/>
      <c r="K744" s="6"/>
      <c r="L744" s="8"/>
      <c r="N744" s="8"/>
    </row>
    <row r="745">
      <c r="A745" s="10"/>
      <c r="B745" s="5"/>
      <c r="H745" s="6"/>
      <c r="I745" s="7"/>
      <c r="J745" s="8"/>
      <c r="K745" s="6"/>
      <c r="L745" s="8"/>
      <c r="N745" s="8"/>
    </row>
    <row r="746">
      <c r="A746" s="10"/>
      <c r="B746" s="5"/>
      <c r="H746" s="6"/>
      <c r="I746" s="7"/>
      <c r="J746" s="8"/>
      <c r="K746" s="6"/>
      <c r="L746" s="8"/>
      <c r="N746" s="8"/>
    </row>
    <row r="747">
      <c r="A747" s="10"/>
      <c r="B747" s="5"/>
      <c r="H747" s="6"/>
      <c r="I747" s="7"/>
      <c r="J747" s="8"/>
      <c r="K747" s="6"/>
      <c r="L747" s="8"/>
      <c r="N747" s="8"/>
    </row>
    <row r="748">
      <c r="A748" s="10"/>
      <c r="B748" s="5"/>
      <c r="H748" s="6"/>
      <c r="I748" s="7"/>
      <c r="J748" s="8"/>
      <c r="K748" s="6"/>
      <c r="L748" s="8"/>
      <c r="N748" s="8"/>
    </row>
    <row r="749">
      <c r="A749" s="10"/>
      <c r="B749" s="5"/>
      <c r="H749" s="6"/>
      <c r="I749" s="7"/>
      <c r="J749" s="8"/>
      <c r="K749" s="6"/>
      <c r="L749" s="8"/>
      <c r="N749" s="8"/>
    </row>
    <row r="750">
      <c r="A750" s="10"/>
      <c r="B750" s="5"/>
      <c r="H750" s="6"/>
      <c r="I750" s="7"/>
      <c r="J750" s="8"/>
      <c r="K750" s="6"/>
      <c r="L750" s="8"/>
      <c r="N750" s="8"/>
    </row>
    <row r="751">
      <c r="A751" s="10"/>
      <c r="B751" s="5"/>
      <c r="H751" s="6"/>
      <c r="I751" s="7"/>
      <c r="J751" s="8"/>
      <c r="K751" s="6"/>
      <c r="L751" s="8"/>
      <c r="N751" s="8"/>
    </row>
    <row r="752">
      <c r="A752" s="10"/>
      <c r="B752" s="5"/>
      <c r="H752" s="6"/>
      <c r="I752" s="7"/>
      <c r="J752" s="8"/>
      <c r="K752" s="6"/>
      <c r="L752" s="8"/>
      <c r="N752" s="8"/>
    </row>
    <row r="753">
      <c r="A753" s="10"/>
      <c r="B753" s="5"/>
      <c r="H753" s="6"/>
      <c r="I753" s="7"/>
      <c r="J753" s="8"/>
      <c r="K753" s="6"/>
      <c r="L753" s="8"/>
      <c r="N753" s="8"/>
    </row>
    <row r="754">
      <c r="A754" s="10"/>
      <c r="B754" s="5"/>
      <c r="H754" s="6"/>
      <c r="I754" s="7"/>
      <c r="J754" s="8"/>
      <c r="K754" s="6"/>
      <c r="L754" s="8"/>
      <c r="N754" s="8"/>
    </row>
    <row r="755">
      <c r="A755" s="10"/>
      <c r="B755" s="5"/>
      <c r="H755" s="6"/>
      <c r="I755" s="7"/>
      <c r="J755" s="8"/>
      <c r="K755" s="6"/>
      <c r="L755" s="8"/>
      <c r="N755" s="8"/>
    </row>
    <row r="756">
      <c r="A756" s="10"/>
      <c r="B756" s="5"/>
      <c r="H756" s="6"/>
      <c r="I756" s="7"/>
      <c r="J756" s="8"/>
      <c r="K756" s="6"/>
      <c r="L756" s="8"/>
      <c r="N756" s="8"/>
    </row>
    <row r="757">
      <c r="A757" s="10"/>
      <c r="B757" s="5"/>
      <c r="H757" s="6"/>
      <c r="I757" s="7"/>
      <c r="J757" s="8"/>
      <c r="K757" s="6"/>
      <c r="L757" s="8"/>
      <c r="N757" s="8"/>
    </row>
    <row r="758">
      <c r="A758" s="10"/>
      <c r="B758" s="5"/>
      <c r="H758" s="6"/>
      <c r="I758" s="7"/>
      <c r="J758" s="8"/>
      <c r="K758" s="6"/>
      <c r="L758" s="8"/>
      <c r="N758" s="8"/>
    </row>
    <row r="759">
      <c r="A759" s="10"/>
      <c r="B759" s="5"/>
      <c r="H759" s="6"/>
      <c r="I759" s="7"/>
      <c r="J759" s="8"/>
      <c r="K759" s="6"/>
      <c r="L759" s="8"/>
      <c r="N759" s="8"/>
    </row>
    <row r="760">
      <c r="A760" s="10"/>
      <c r="B760" s="5"/>
      <c r="H760" s="6"/>
      <c r="I760" s="7"/>
      <c r="J760" s="8"/>
      <c r="K760" s="6"/>
      <c r="L760" s="8"/>
      <c r="N760" s="8"/>
    </row>
    <row r="761">
      <c r="A761" s="10"/>
      <c r="B761" s="5"/>
      <c r="H761" s="6"/>
      <c r="I761" s="7"/>
      <c r="J761" s="8"/>
      <c r="K761" s="6"/>
      <c r="L761" s="8"/>
      <c r="N761" s="8"/>
    </row>
    <row r="762">
      <c r="A762" s="10"/>
      <c r="B762" s="5"/>
      <c r="H762" s="6"/>
      <c r="I762" s="7"/>
      <c r="J762" s="8"/>
      <c r="K762" s="6"/>
      <c r="L762" s="8"/>
      <c r="N762" s="8"/>
    </row>
    <row r="763">
      <c r="A763" s="10"/>
      <c r="B763" s="5"/>
      <c r="H763" s="6"/>
      <c r="I763" s="7"/>
      <c r="J763" s="8"/>
      <c r="K763" s="6"/>
      <c r="L763" s="8"/>
      <c r="N763" s="8"/>
    </row>
    <row r="764">
      <c r="A764" s="10"/>
      <c r="B764" s="5"/>
      <c r="H764" s="6"/>
      <c r="I764" s="7"/>
      <c r="J764" s="8"/>
      <c r="K764" s="6"/>
      <c r="L764" s="8"/>
      <c r="N764" s="8"/>
    </row>
    <row r="765">
      <c r="A765" s="10"/>
      <c r="B765" s="5"/>
      <c r="H765" s="6"/>
      <c r="I765" s="7"/>
      <c r="J765" s="8"/>
      <c r="K765" s="6"/>
      <c r="L765" s="8"/>
      <c r="N765" s="8"/>
    </row>
    <row r="766">
      <c r="A766" s="10"/>
      <c r="B766" s="5"/>
      <c r="H766" s="6"/>
      <c r="I766" s="7"/>
      <c r="J766" s="8"/>
      <c r="K766" s="6"/>
      <c r="L766" s="8"/>
      <c r="N766" s="8"/>
    </row>
    <row r="767">
      <c r="A767" s="10"/>
      <c r="B767" s="5"/>
      <c r="H767" s="6"/>
      <c r="I767" s="7"/>
      <c r="J767" s="8"/>
      <c r="K767" s="6"/>
      <c r="L767" s="8"/>
      <c r="N767" s="8"/>
    </row>
    <row r="768">
      <c r="A768" s="10"/>
      <c r="B768" s="5"/>
      <c r="H768" s="6"/>
      <c r="I768" s="7"/>
      <c r="J768" s="8"/>
      <c r="K768" s="6"/>
      <c r="L768" s="8"/>
      <c r="N768" s="8"/>
    </row>
    <row r="769">
      <c r="A769" s="10"/>
      <c r="B769" s="5"/>
      <c r="H769" s="6"/>
      <c r="I769" s="7"/>
      <c r="J769" s="8"/>
      <c r="K769" s="6"/>
      <c r="L769" s="8"/>
      <c r="N769" s="8"/>
    </row>
    <row r="770">
      <c r="A770" s="10"/>
      <c r="B770" s="5"/>
      <c r="H770" s="6"/>
      <c r="I770" s="7"/>
      <c r="J770" s="8"/>
      <c r="K770" s="6"/>
      <c r="L770" s="8"/>
      <c r="N770" s="8"/>
    </row>
    <row r="771">
      <c r="A771" s="10"/>
      <c r="B771" s="5"/>
      <c r="H771" s="6"/>
      <c r="I771" s="7"/>
      <c r="J771" s="8"/>
      <c r="K771" s="6"/>
      <c r="L771" s="8"/>
      <c r="N771" s="8"/>
    </row>
    <row r="772">
      <c r="A772" s="10"/>
      <c r="B772" s="5"/>
      <c r="H772" s="6"/>
      <c r="I772" s="7"/>
      <c r="J772" s="8"/>
      <c r="K772" s="6"/>
      <c r="L772" s="8"/>
      <c r="N772" s="8"/>
    </row>
    <row r="773">
      <c r="A773" s="10"/>
      <c r="B773" s="5"/>
      <c r="H773" s="6"/>
      <c r="I773" s="7"/>
      <c r="J773" s="8"/>
      <c r="K773" s="6"/>
      <c r="L773" s="8"/>
      <c r="N773" s="8"/>
    </row>
    <row r="774">
      <c r="A774" s="10"/>
      <c r="B774" s="5"/>
      <c r="H774" s="6"/>
      <c r="I774" s="7"/>
      <c r="J774" s="8"/>
      <c r="K774" s="6"/>
      <c r="L774" s="8"/>
      <c r="N774" s="8"/>
    </row>
    <row r="775">
      <c r="A775" s="10"/>
      <c r="B775" s="5"/>
      <c r="H775" s="6"/>
      <c r="I775" s="7"/>
      <c r="J775" s="8"/>
      <c r="K775" s="6"/>
      <c r="L775" s="8"/>
      <c r="N775" s="8"/>
    </row>
    <row r="776">
      <c r="A776" s="10"/>
      <c r="B776" s="5"/>
      <c r="H776" s="6"/>
      <c r="I776" s="7"/>
      <c r="J776" s="8"/>
      <c r="K776" s="6"/>
      <c r="L776" s="8"/>
      <c r="N776" s="8"/>
    </row>
    <row r="777">
      <c r="A777" s="10"/>
      <c r="B777" s="5"/>
      <c r="H777" s="6"/>
      <c r="I777" s="7"/>
      <c r="J777" s="8"/>
      <c r="K777" s="6"/>
      <c r="L777" s="8"/>
      <c r="N777" s="8"/>
    </row>
    <row r="778">
      <c r="A778" s="10"/>
      <c r="B778" s="5"/>
      <c r="H778" s="6"/>
      <c r="I778" s="7"/>
      <c r="J778" s="8"/>
      <c r="K778" s="6"/>
      <c r="L778" s="8"/>
      <c r="N778" s="8"/>
    </row>
    <row r="779">
      <c r="A779" s="10"/>
      <c r="B779" s="5"/>
      <c r="H779" s="6"/>
      <c r="I779" s="7"/>
      <c r="J779" s="8"/>
      <c r="K779" s="6"/>
      <c r="L779" s="8"/>
      <c r="N779" s="8"/>
    </row>
    <row r="780">
      <c r="A780" s="10"/>
      <c r="B780" s="5"/>
      <c r="H780" s="6"/>
      <c r="I780" s="7"/>
      <c r="J780" s="8"/>
      <c r="K780" s="6"/>
      <c r="L780" s="8"/>
      <c r="N780" s="8"/>
    </row>
    <row r="781">
      <c r="A781" s="10"/>
      <c r="B781" s="5"/>
      <c r="H781" s="6"/>
      <c r="I781" s="7"/>
      <c r="J781" s="8"/>
      <c r="K781" s="6"/>
      <c r="L781" s="8"/>
      <c r="N781" s="8"/>
    </row>
    <row r="782">
      <c r="A782" s="10"/>
      <c r="B782" s="5"/>
      <c r="H782" s="6"/>
      <c r="I782" s="7"/>
      <c r="J782" s="8"/>
      <c r="K782" s="6"/>
      <c r="L782" s="8"/>
      <c r="N782" s="8"/>
    </row>
    <row r="783">
      <c r="A783" s="10"/>
      <c r="B783" s="5"/>
      <c r="H783" s="6"/>
      <c r="I783" s="7"/>
      <c r="J783" s="8"/>
      <c r="K783" s="6"/>
      <c r="L783" s="8"/>
      <c r="N783" s="8"/>
    </row>
    <row r="784">
      <c r="A784" s="10"/>
      <c r="B784" s="5"/>
      <c r="H784" s="6"/>
      <c r="I784" s="7"/>
      <c r="J784" s="8"/>
      <c r="K784" s="6"/>
      <c r="L784" s="8"/>
      <c r="N784" s="8"/>
    </row>
    <row r="785">
      <c r="A785" s="10"/>
      <c r="B785" s="5"/>
      <c r="H785" s="6"/>
      <c r="I785" s="7"/>
      <c r="J785" s="8"/>
      <c r="K785" s="6"/>
      <c r="L785" s="8"/>
      <c r="N785" s="8"/>
    </row>
    <row r="786">
      <c r="A786" s="10"/>
      <c r="B786" s="5"/>
      <c r="H786" s="6"/>
      <c r="I786" s="7"/>
      <c r="J786" s="8"/>
      <c r="K786" s="6"/>
      <c r="L786" s="8"/>
      <c r="N786" s="8"/>
    </row>
    <row r="787">
      <c r="A787" s="10"/>
      <c r="B787" s="5"/>
      <c r="H787" s="6"/>
      <c r="I787" s="7"/>
      <c r="J787" s="8"/>
      <c r="K787" s="6"/>
      <c r="L787" s="8"/>
      <c r="N787" s="8"/>
    </row>
    <row r="788">
      <c r="A788" s="10"/>
      <c r="B788" s="5"/>
      <c r="H788" s="6"/>
      <c r="I788" s="7"/>
      <c r="J788" s="8"/>
      <c r="K788" s="6"/>
      <c r="L788" s="8"/>
      <c r="N788" s="8"/>
    </row>
    <row r="789">
      <c r="A789" s="10"/>
      <c r="B789" s="5"/>
      <c r="H789" s="6"/>
      <c r="I789" s="7"/>
      <c r="J789" s="8"/>
      <c r="K789" s="6"/>
      <c r="L789" s="8"/>
      <c r="N789" s="8"/>
    </row>
    <row r="790">
      <c r="A790" s="10"/>
      <c r="B790" s="5"/>
      <c r="H790" s="6"/>
      <c r="I790" s="7"/>
      <c r="J790" s="8"/>
      <c r="K790" s="6"/>
      <c r="L790" s="8"/>
      <c r="N790" s="8"/>
    </row>
    <row r="791">
      <c r="A791" s="10"/>
      <c r="B791" s="5"/>
      <c r="H791" s="6"/>
      <c r="I791" s="7"/>
      <c r="J791" s="8"/>
      <c r="K791" s="6"/>
      <c r="L791" s="8"/>
      <c r="N791" s="8"/>
    </row>
    <row r="792">
      <c r="A792" s="10"/>
      <c r="B792" s="5"/>
      <c r="H792" s="6"/>
      <c r="I792" s="7"/>
      <c r="J792" s="8"/>
      <c r="K792" s="6"/>
      <c r="L792" s="8"/>
      <c r="N792" s="8"/>
    </row>
    <row r="793">
      <c r="A793" s="10"/>
      <c r="B793" s="5"/>
      <c r="H793" s="6"/>
      <c r="I793" s="7"/>
      <c r="J793" s="8"/>
      <c r="K793" s="6"/>
      <c r="L793" s="8"/>
      <c r="N793" s="8"/>
    </row>
    <row r="794">
      <c r="A794" s="10"/>
      <c r="B794" s="5"/>
      <c r="H794" s="6"/>
      <c r="I794" s="7"/>
      <c r="J794" s="8"/>
      <c r="K794" s="6"/>
      <c r="L794" s="8"/>
      <c r="N794" s="8"/>
    </row>
    <row r="795">
      <c r="A795" s="10"/>
      <c r="B795" s="5"/>
      <c r="H795" s="6"/>
      <c r="I795" s="7"/>
      <c r="J795" s="8"/>
      <c r="K795" s="6"/>
      <c r="L795" s="8"/>
      <c r="N795" s="8"/>
    </row>
    <row r="796">
      <c r="A796" s="10"/>
      <c r="B796" s="5"/>
      <c r="H796" s="6"/>
      <c r="I796" s="7"/>
      <c r="J796" s="8"/>
      <c r="K796" s="6"/>
      <c r="L796" s="8"/>
      <c r="N796" s="8"/>
    </row>
    <row r="797">
      <c r="A797" s="10"/>
      <c r="B797" s="5"/>
      <c r="H797" s="6"/>
      <c r="I797" s="7"/>
      <c r="J797" s="8"/>
      <c r="K797" s="6"/>
      <c r="L797" s="8"/>
      <c r="N797" s="8"/>
    </row>
    <row r="798">
      <c r="A798" s="10"/>
      <c r="B798" s="5"/>
      <c r="H798" s="6"/>
      <c r="I798" s="7"/>
      <c r="J798" s="8"/>
      <c r="K798" s="6"/>
      <c r="L798" s="8"/>
      <c r="N798" s="8"/>
    </row>
    <row r="799">
      <c r="A799" s="10"/>
      <c r="B799" s="5"/>
      <c r="H799" s="6"/>
      <c r="I799" s="7"/>
      <c r="J799" s="8"/>
      <c r="K799" s="6"/>
      <c r="L799" s="8"/>
      <c r="N799" s="8"/>
    </row>
    <row r="800">
      <c r="A800" s="10"/>
      <c r="B800" s="5"/>
      <c r="H800" s="6"/>
      <c r="I800" s="7"/>
      <c r="J800" s="8"/>
      <c r="K800" s="6"/>
      <c r="L800" s="8"/>
      <c r="N800" s="8"/>
    </row>
    <row r="801">
      <c r="A801" s="10"/>
      <c r="B801" s="5"/>
      <c r="H801" s="6"/>
      <c r="I801" s="7"/>
      <c r="J801" s="8"/>
      <c r="K801" s="6"/>
      <c r="L801" s="8"/>
      <c r="N801" s="8"/>
    </row>
    <row r="802">
      <c r="A802" s="10"/>
      <c r="B802" s="5"/>
      <c r="H802" s="6"/>
      <c r="I802" s="7"/>
      <c r="J802" s="8"/>
      <c r="K802" s="6"/>
      <c r="L802" s="8"/>
      <c r="N802" s="8"/>
    </row>
    <row r="803">
      <c r="A803" s="10"/>
      <c r="B803" s="5"/>
      <c r="H803" s="6"/>
      <c r="I803" s="7"/>
      <c r="J803" s="8"/>
      <c r="K803" s="6"/>
      <c r="L803" s="8"/>
      <c r="N803" s="8"/>
    </row>
    <row r="804">
      <c r="A804" s="10"/>
      <c r="B804" s="5"/>
      <c r="H804" s="6"/>
      <c r="I804" s="7"/>
      <c r="J804" s="8"/>
      <c r="K804" s="6"/>
      <c r="L804" s="8"/>
      <c r="N804" s="8"/>
    </row>
    <row r="805">
      <c r="A805" s="10"/>
      <c r="B805" s="5"/>
      <c r="H805" s="6"/>
      <c r="I805" s="7"/>
      <c r="J805" s="8"/>
      <c r="K805" s="6"/>
      <c r="L805" s="8"/>
      <c r="N805" s="8"/>
    </row>
    <row r="806">
      <c r="A806" s="10"/>
      <c r="B806" s="5"/>
      <c r="H806" s="6"/>
      <c r="I806" s="7"/>
      <c r="J806" s="8"/>
      <c r="K806" s="6"/>
      <c r="L806" s="8"/>
      <c r="N806" s="8"/>
    </row>
    <row r="807">
      <c r="A807" s="10"/>
      <c r="B807" s="5"/>
      <c r="H807" s="6"/>
      <c r="I807" s="7"/>
      <c r="J807" s="8"/>
      <c r="K807" s="6"/>
      <c r="L807" s="8"/>
      <c r="N807" s="8"/>
    </row>
    <row r="808">
      <c r="A808" s="10"/>
      <c r="B808" s="5"/>
      <c r="H808" s="6"/>
      <c r="I808" s="7"/>
      <c r="J808" s="8"/>
      <c r="K808" s="6"/>
      <c r="L808" s="8"/>
      <c r="N808" s="8"/>
    </row>
    <row r="809">
      <c r="A809" s="10"/>
      <c r="B809" s="5"/>
      <c r="H809" s="6"/>
      <c r="I809" s="7"/>
      <c r="J809" s="8"/>
      <c r="K809" s="6"/>
      <c r="L809" s="8"/>
      <c r="N809" s="8"/>
    </row>
    <row r="810">
      <c r="A810" s="10"/>
      <c r="B810" s="5"/>
      <c r="H810" s="6"/>
      <c r="I810" s="7"/>
      <c r="J810" s="8"/>
      <c r="K810" s="6"/>
      <c r="L810" s="8"/>
      <c r="N810" s="8"/>
    </row>
    <row r="811">
      <c r="A811" s="10"/>
      <c r="B811" s="5"/>
      <c r="H811" s="6"/>
      <c r="I811" s="7"/>
      <c r="J811" s="8"/>
      <c r="K811" s="6"/>
      <c r="L811" s="8"/>
      <c r="N811" s="8"/>
    </row>
    <row r="812">
      <c r="A812" s="10"/>
      <c r="B812" s="5"/>
      <c r="H812" s="6"/>
      <c r="I812" s="7"/>
      <c r="J812" s="8"/>
      <c r="K812" s="6"/>
      <c r="L812" s="8"/>
      <c r="N812" s="8"/>
    </row>
    <row r="813">
      <c r="A813" s="10"/>
      <c r="B813" s="5"/>
      <c r="H813" s="6"/>
      <c r="I813" s="7"/>
      <c r="J813" s="8"/>
      <c r="K813" s="6"/>
      <c r="L813" s="8"/>
      <c r="N813" s="8"/>
    </row>
    <row r="814">
      <c r="A814" s="10"/>
      <c r="B814" s="5"/>
      <c r="H814" s="6"/>
      <c r="I814" s="7"/>
      <c r="J814" s="8"/>
      <c r="K814" s="6"/>
      <c r="L814" s="8"/>
      <c r="N814" s="8"/>
    </row>
    <row r="815">
      <c r="A815" s="10"/>
      <c r="B815" s="5"/>
      <c r="H815" s="6"/>
      <c r="I815" s="7"/>
      <c r="J815" s="8"/>
      <c r="K815" s="6"/>
      <c r="L815" s="8"/>
      <c r="N815" s="8"/>
    </row>
    <row r="816">
      <c r="A816" s="10"/>
      <c r="B816" s="5"/>
      <c r="H816" s="6"/>
      <c r="I816" s="7"/>
      <c r="J816" s="8"/>
      <c r="K816" s="6"/>
      <c r="L816" s="8"/>
      <c r="N816" s="8"/>
    </row>
    <row r="817">
      <c r="A817" s="10"/>
      <c r="B817" s="5"/>
      <c r="H817" s="6"/>
      <c r="I817" s="7"/>
      <c r="J817" s="8"/>
      <c r="K817" s="6"/>
      <c r="L817" s="8"/>
      <c r="N817" s="8"/>
    </row>
    <row r="818">
      <c r="A818" s="10"/>
      <c r="B818" s="5"/>
      <c r="H818" s="6"/>
      <c r="I818" s="7"/>
      <c r="J818" s="8"/>
      <c r="K818" s="6"/>
      <c r="L818" s="8"/>
      <c r="N818" s="8"/>
    </row>
    <row r="819">
      <c r="A819" s="10"/>
      <c r="B819" s="5"/>
      <c r="H819" s="6"/>
      <c r="I819" s="7"/>
      <c r="J819" s="8"/>
      <c r="K819" s="6"/>
      <c r="L819" s="8"/>
      <c r="N819" s="8"/>
    </row>
    <row r="820">
      <c r="A820" s="10"/>
      <c r="B820" s="5"/>
      <c r="H820" s="6"/>
      <c r="I820" s="7"/>
      <c r="J820" s="8"/>
      <c r="K820" s="6"/>
      <c r="L820" s="8"/>
      <c r="N820" s="8"/>
    </row>
    <row r="821">
      <c r="A821" s="10"/>
      <c r="B821" s="5"/>
      <c r="H821" s="6"/>
      <c r="I821" s="7"/>
      <c r="J821" s="8"/>
      <c r="K821" s="6"/>
      <c r="L821" s="8"/>
      <c r="N821" s="8"/>
    </row>
    <row r="822">
      <c r="A822" s="10"/>
      <c r="B822" s="5"/>
      <c r="H822" s="6"/>
      <c r="I822" s="7"/>
      <c r="J822" s="8"/>
      <c r="K822" s="6"/>
      <c r="L822" s="8"/>
      <c r="N822" s="8"/>
    </row>
    <row r="823">
      <c r="A823" s="10"/>
      <c r="B823" s="5"/>
      <c r="H823" s="6"/>
      <c r="I823" s="7"/>
      <c r="J823" s="8"/>
      <c r="K823" s="6"/>
      <c r="L823" s="8"/>
      <c r="N823" s="8"/>
    </row>
    <row r="824">
      <c r="A824" s="10"/>
      <c r="B824" s="5"/>
      <c r="H824" s="6"/>
      <c r="I824" s="7"/>
      <c r="J824" s="8"/>
      <c r="K824" s="6"/>
      <c r="L824" s="8"/>
      <c r="N824" s="8"/>
    </row>
    <row r="825">
      <c r="A825" s="10"/>
      <c r="B825" s="5"/>
      <c r="H825" s="6"/>
      <c r="I825" s="7"/>
      <c r="J825" s="8"/>
      <c r="K825" s="6"/>
      <c r="L825" s="8"/>
      <c r="N825" s="8"/>
    </row>
    <row r="826">
      <c r="A826" s="10"/>
      <c r="B826" s="5"/>
      <c r="H826" s="6"/>
      <c r="I826" s="7"/>
      <c r="J826" s="8"/>
      <c r="K826" s="6"/>
      <c r="L826" s="8"/>
      <c r="N826" s="8"/>
    </row>
    <row r="827">
      <c r="A827" s="10"/>
      <c r="B827" s="5"/>
      <c r="H827" s="6"/>
      <c r="I827" s="7"/>
      <c r="J827" s="8"/>
      <c r="K827" s="6"/>
      <c r="L827" s="8"/>
      <c r="N827" s="8"/>
    </row>
    <row r="828">
      <c r="A828" s="10"/>
      <c r="B828" s="5"/>
      <c r="H828" s="6"/>
      <c r="I828" s="7"/>
      <c r="J828" s="8"/>
      <c r="K828" s="6"/>
      <c r="L828" s="8"/>
      <c r="N828" s="8"/>
    </row>
    <row r="829">
      <c r="A829" s="10"/>
      <c r="B829" s="5"/>
      <c r="H829" s="6"/>
      <c r="I829" s="7"/>
      <c r="J829" s="8"/>
      <c r="K829" s="6"/>
      <c r="L829" s="8"/>
      <c r="N829" s="8"/>
    </row>
    <row r="830">
      <c r="A830" s="10"/>
      <c r="B830" s="5"/>
      <c r="H830" s="6"/>
      <c r="I830" s="7"/>
      <c r="J830" s="8"/>
      <c r="K830" s="6"/>
      <c r="L830" s="8"/>
      <c r="N830" s="8"/>
    </row>
    <row r="831">
      <c r="A831" s="10"/>
      <c r="B831" s="5"/>
      <c r="H831" s="6"/>
      <c r="I831" s="7"/>
      <c r="J831" s="8"/>
      <c r="K831" s="6"/>
      <c r="L831" s="8"/>
      <c r="N831" s="8"/>
    </row>
    <row r="832">
      <c r="A832" s="10"/>
      <c r="B832" s="5"/>
      <c r="H832" s="6"/>
      <c r="I832" s="7"/>
      <c r="J832" s="8"/>
      <c r="K832" s="6"/>
      <c r="L832" s="8"/>
      <c r="N832" s="8"/>
    </row>
    <row r="833">
      <c r="A833" s="10"/>
      <c r="B833" s="5"/>
      <c r="H833" s="6"/>
      <c r="I833" s="7"/>
      <c r="J833" s="8"/>
      <c r="K833" s="6"/>
      <c r="L833" s="8"/>
      <c r="N833" s="8"/>
    </row>
    <row r="834">
      <c r="A834" s="10"/>
      <c r="B834" s="5"/>
      <c r="H834" s="6"/>
      <c r="I834" s="7"/>
      <c r="J834" s="8"/>
      <c r="K834" s="6"/>
      <c r="L834" s="8"/>
      <c r="N834" s="8"/>
    </row>
    <row r="835">
      <c r="A835" s="10"/>
      <c r="B835" s="5"/>
      <c r="H835" s="6"/>
      <c r="I835" s="7"/>
      <c r="J835" s="8"/>
      <c r="K835" s="6"/>
      <c r="L835" s="8"/>
      <c r="N835" s="8"/>
    </row>
    <row r="836">
      <c r="A836" s="10"/>
      <c r="B836" s="5"/>
      <c r="H836" s="6"/>
      <c r="I836" s="7"/>
      <c r="J836" s="8"/>
      <c r="K836" s="6"/>
      <c r="L836" s="8"/>
      <c r="N836" s="8"/>
    </row>
    <row r="837">
      <c r="A837" s="10"/>
      <c r="B837" s="5"/>
      <c r="H837" s="6"/>
      <c r="I837" s="7"/>
      <c r="J837" s="8"/>
      <c r="K837" s="6"/>
      <c r="L837" s="8"/>
      <c r="N837" s="8"/>
    </row>
    <row r="838">
      <c r="A838" s="10"/>
      <c r="B838" s="5"/>
      <c r="H838" s="6"/>
      <c r="I838" s="7"/>
      <c r="J838" s="8"/>
      <c r="K838" s="6"/>
      <c r="L838" s="8"/>
      <c r="N838" s="8"/>
    </row>
    <row r="839">
      <c r="A839" s="10"/>
      <c r="B839" s="5"/>
      <c r="H839" s="6"/>
      <c r="I839" s="7"/>
      <c r="J839" s="8"/>
      <c r="K839" s="6"/>
      <c r="L839" s="8"/>
      <c r="N839" s="8"/>
    </row>
    <row r="840">
      <c r="A840" s="10"/>
      <c r="B840" s="5"/>
      <c r="H840" s="6"/>
      <c r="I840" s="7"/>
      <c r="J840" s="8"/>
      <c r="K840" s="6"/>
      <c r="L840" s="8"/>
      <c r="N840" s="8"/>
    </row>
    <row r="841">
      <c r="A841" s="10"/>
      <c r="B841" s="5"/>
      <c r="H841" s="6"/>
      <c r="I841" s="7"/>
      <c r="J841" s="8"/>
      <c r="K841" s="6"/>
      <c r="L841" s="8"/>
      <c r="N841" s="8"/>
    </row>
    <row r="842">
      <c r="A842" s="10"/>
      <c r="B842" s="5"/>
      <c r="H842" s="6"/>
      <c r="I842" s="7"/>
      <c r="J842" s="8"/>
      <c r="K842" s="6"/>
      <c r="L842" s="8"/>
      <c r="N842" s="8"/>
    </row>
    <row r="843">
      <c r="A843" s="10"/>
      <c r="B843" s="5"/>
      <c r="H843" s="6"/>
      <c r="I843" s="7"/>
      <c r="J843" s="8"/>
      <c r="K843" s="6"/>
      <c r="L843" s="8"/>
      <c r="N843" s="8"/>
    </row>
    <row r="844">
      <c r="A844" s="10"/>
      <c r="B844" s="5"/>
      <c r="H844" s="6"/>
      <c r="I844" s="7"/>
      <c r="J844" s="8"/>
      <c r="K844" s="6"/>
      <c r="L844" s="8"/>
      <c r="N844" s="8"/>
    </row>
    <row r="845">
      <c r="A845" s="10"/>
      <c r="B845" s="5"/>
      <c r="H845" s="6"/>
      <c r="I845" s="7"/>
      <c r="J845" s="8"/>
      <c r="K845" s="6"/>
      <c r="L845" s="8"/>
      <c r="N845" s="8"/>
    </row>
    <row r="846">
      <c r="A846" s="10"/>
      <c r="B846" s="5"/>
      <c r="H846" s="6"/>
      <c r="I846" s="7"/>
      <c r="J846" s="8"/>
      <c r="K846" s="6"/>
      <c r="L846" s="8"/>
      <c r="N846" s="8"/>
    </row>
    <row r="847">
      <c r="A847" s="10"/>
      <c r="B847" s="5"/>
      <c r="H847" s="6"/>
      <c r="I847" s="7"/>
      <c r="J847" s="8"/>
      <c r="K847" s="6"/>
      <c r="L847" s="8"/>
      <c r="N847" s="8"/>
    </row>
    <row r="848">
      <c r="A848" s="10"/>
      <c r="B848" s="5"/>
      <c r="H848" s="6"/>
      <c r="I848" s="7"/>
      <c r="J848" s="8"/>
      <c r="K848" s="6"/>
      <c r="L848" s="8"/>
      <c r="N848" s="8"/>
    </row>
    <row r="849">
      <c r="A849" s="10"/>
      <c r="B849" s="5"/>
      <c r="H849" s="6"/>
      <c r="I849" s="7"/>
      <c r="J849" s="8"/>
      <c r="K849" s="6"/>
      <c r="L849" s="8"/>
      <c r="N849" s="8"/>
    </row>
    <row r="850">
      <c r="A850" s="10"/>
      <c r="B850" s="5"/>
      <c r="H850" s="6"/>
      <c r="I850" s="7"/>
      <c r="J850" s="8"/>
      <c r="K850" s="6"/>
      <c r="L850" s="8"/>
      <c r="N850" s="8"/>
    </row>
    <row r="851">
      <c r="A851" s="10"/>
      <c r="B851" s="5"/>
      <c r="H851" s="6"/>
      <c r="I851" s="7"/>
      <c r="J851" s="8"/>
      <c r="K851" s="6"/>
      <c r="L851" s="8"/>
      <c r="N851" s="8"/>
    </row>
    <row r="852">
      <c r="A852" s="10"/>
      <c r="B852" s="5"/>
      <c r="H852" s="6"/>
      <c r="I852" s="7"/>
      <c r="J852" s="8"/>
      <c r="K852" s="6"/>
      <c r="L852" s="8"/>
      <c r="N852" s="8"/>
    </row>
    <row r="853">
      <c r="A853" s="10"/>
      <c r="B853" s="5"/>
      <c r="H853" s="6"/>
      <c r="I853" s="7"/>
      <c r="J853" s="8"/>
      <c r="K853" s="6"/>
      <c r="L853" s="8"/>
      <c r="N853" s="8"/>
    </row>
    <row r="854">
      <c r="A854" s="10"/>
      <c r="B854" s="5"/>
      <c r="H854" s="6"/>
      <c r="I854" s="7"/>
      <c r="J854" s="8"/>
      <c r="K854" s="6"/>
      <c r="L854" s="8"/>
      <c r="N854" s="8"/>
    </row>
    <row r="855">
      <c r="A855" s="10"/>
      <c r="B855" s="5"/>
      <c r="H855" s="6"/>
      <c r="I855" s="7"/>
      <c r="J855" s="8"/>
      <c r="K855" s="6"/>
      <c r="L855" s="8"/>
      <c r="N855" s="8"/>
    </row>
    <row r="856">
      <c r="A856" s="10"/>
      <c r="B856" s="5"/>
      <c r="H856" s="6"/>
      <c r="I856" s="7"/>
      <c r="J856" s="8"/>
      <c r="K856" s="6"/>
      <c r="L856" s="8"/>
      <c r="N856" s="8"/>
    </row>
    <row r="857">
      <c r="A857" s="10"/>
      <c r="B857" s="5"/>
      <c r="H857" s="6"/>
      <c r="I857" s="7"/>
      <c r="J857" s="8"/>
      <c r="K857" s="6"/>
      <c r="L857" s="8"/>
      <c r="N857" s="8"/>
    </row>
    <row r="858">
      <c r="A858" s="10"/>
      <c r="B858" s="5"/>
      <c r="H858" s="6"/>
      <c r="I858" s="7"/>
      <c r="J858" s="8"/>
      <c r="K858" s="6"/>
      <c r="L858" s="8"/>
      <c r="N858" s="8"/>
    </row>
    <row r="859">
      <c r="A859" s="10"/>
      <c r="B859" s="5"/>
      <c r="H859" s="6"/>
      <c r="I859" s="7"/>
      <c r="J859" s="8"/>
      <c r="K859" s="6"/>
      <c r="L859" s="8"/>
      <c r="N859" s="8"/>
    </row>
    <row r="860">
      <c r="A860" s="10"/>
      <c r="B860" s="5"/>
      <c r="H860" s="6"/>
      <c r="I860" s="7"/>
      <c r="J860" s="8"/>
      <c r="K860" s="6"/>
      <c r="L860" s="8"/>
      <c r="N860" s="8"/>
    </row>
    <row r="861">
      <c r="A861" s="10"/>
      <c r="B861" s="5"/>
      <c r="H861" s="6"/>
      <c r="I861" s="7"/>
      <c r="J861" s="8"/>
      <c r="K861" s="6"/>
      <c r="L861" s="8"/>
      <c r="N861" s="8"/>
    </row>
    <row r="862">
      <c r="A862" s="10"/>
      <c r="B862" s="5"/>
      <c r="H862" s="6"/>
      <c r="I862" s="7"/>
      <c r="J862" s="8"/>
      <c r="K862" s="6"/>
      <c r="L862" s="8"/>
      <c r="N862" s="8"/>
    </row>
    <row r="863">
      <c r="A863" s="10"/>
      <c r="B863" s="5"/>
      <c r="H863" s="6"/>
      <c r="I863" s="7"/>
      <c r="J863" s="8"/>
      <c r="K863" s="6"/>
      <c r="L863" s="8"/>
      <c r="N863" s="8"/>
    </row>
    <row r="864">
      <c r="A864" s="10"/>
      <c r="B864" s="5"/>
      <c r="H864" s="6"/>
      <c r="I864" s="7"/>
      <c r="J864" s="8"/>
      <c r="K864" s="6"/>
      <c r="L864" s="8"/>
      <c r="N864" s="8"/>
    </row>
    <row r="865">
      <c r="A865" s="10"/>
      <c r="B865" s="5"/>
      <c r="H865" s="6"/>
      <c r="I865" s="7"/>
      <c r="J865" s="8"/>
      <c r="K865" s="6"/>
      <c r="L865" s="8"/>
      <c r="N865" s="8"/>
    </row>
    <row r="866">
      <c r="A866" s="10"/>
      <c r="B866" s="5"/>
      <c r="H866" s="6"/>
      <c r="I866" s="7"/>
      <c r="J866" s="8"/>
      <c r="K866" s="6"/>
      <c r="L866" s="8"/>
      <c r="N866" s="8"/>
    </row>
    <row r="867">
      <c r="A867" s="10"/>
      <c r="B867" s="5"/>
      <c r="H867" s="6"/>
      <c r="I867" s="7"/>
      <c r="J867" s="8"/>
      <c r="K867" s="6"/>
      <c r="L867" s="8"/>
      <c r="N867" s="8"/>
    </row>
    <row r="868">
      <c r="A868" s="10"/>
      <c r="B868" s="5"/>
      <c r="H868" s="6"/>
      <c r="I868" s="7"/>
      <c r="J868" s="8"/>
      <c r="K868" s="6"/>
      <c r="L868" s="8"/>
      <c r="N868" s="8"/>
    </row>
    <row r="869">
      <c r="A869" s="10"/>
      <c r="B869" s="5"/>
      <c r="H869" s="6"/>
      <c r="I869" s="7"/>
      <c r="J869" s="8"/>
      <c r="K869" s="6"/>
      <c r="L869" s="8"/>
      <c r="N869" s="8"/>
    </row>
    <row r="870">
      <c r="A870" s="10"/>
      <c r="B870" s="5"/>
      <c r="H870" s="6"/>
      <c r="I870" s="7"/>
      <c r="J870" s="8"/>
      <c r="K870" s="6"/>
      <c r="L870" s="8"/>
      <c r="N870" s="8"/>
    </row>
    <row r="871">
      <c r="A871" s="10"/>
      <c r="B871" s="5"/>
      <c r="H871" s="6"/>
      <c r="I871" s="7"/>
      <c r="J871" s="8"/>
      <c r="K871" s="6"/>
      <c r="L871" s="8"/>
      <c r="N871" s="8"/>
    </row>
    <row r="872">
      <c r="A872" s="10"/>
      <c r="B872" s="5"/>
      <c r="H872" s="6"/>
      <c r="I872" s="7"/>
      <c r="J872" s="8"/>
      <c r="K872" s="6"/>
      <c r="L872" s="8"/>
      <c r="N872" s="8"/>
    </row>
    <row r="873">
      <c r="A873" s="10"/>
      <c r="B873" s="5"/>
      <c r="H873" s="6"/>
      <c r="I873" s="7"/>
      <c r="J873" s="8"/>
      <c r="K873" s="6"/>
      <c r="L873" s="8"/>
      <c r="N873" s="8"/>
    </row>
    <row r="874">
      <c r="A874" s="10"/>
      <c r="B874" s="5"/>
      <c r="H874" s="6"/>
      <c r="I874" s="7"/>
      <c r="J874" s="8"/>
      <c r="K874" s="6"/>
      <c r="L874" s="8"/>
      <c r="N874" s="8"/>
    </row>
    <row r="875">
      <c r="A875" s="10"/>
      <c r="B875" s="5"/>
      <c r="H875" s="6"/>
      <c r="I875" s="7"/>
      <c r="J875" s="8"/>
      <c r="K875" s="6"/>
      <c r="L875" s="8"/>
      <c r="N875" s="8"/>
    </row>
    <row r="876">
      <c r="A876" s="10"/>
      <c r="B876" s="5"/>
      <c r="H876" s="6"/>
      <c r="I876" s="7"/>
      <c r="J876" s="8"/>
      <c r="K876" s="6"/>
      <c r="L876" s="8"/>
      <c r="N876" s="8"/>
    </row>
    <row r="877">
      <c r="A877" s="10"/>
      <c r="B877" s="5"/>
      <c r="H877" s="6"/>
      <c r="I877" s="7"/>
      <c r="J877" s="8"/>
      <c r="K877" s="6"/>
      <c r="L877" s="8"/>
      <c r="N877" s="8"/>
    </row>
    <row r="878">
      <c r="A878" s="10"/>
      <c r="B878" s="5"/>
      <c r="H878" s="6"/>
      <c r="I878" s="7"/>
      <c r="J878" s="8"/>
      <c r="K878" s="6"/>
      <c r="L878" s="8"/>
      <c r="N878" s="8"/>
    </row>
    <row r="879">
      <c r="A879" s="10"/>
      <c r="B879" s="5"/>
      <c r="H879" s="6"/>
      <c r="I879" s="7"/>
      <c r="J879" s="8"/>
      <c r="K879" s="6"/>
      <c r="L879" s="8"/>
      <c r="N879" s="8"/>
    </row>
    <row r="880">
      <c r="A880" s="10"/>
      <c r="B880" s="5"/>
      <c r="H880" s="6"/>
      <c r="I880" s="7"/>
      <c r="J880" s="8"/>
      <c r="K880" s="6"/>
      <c r="L880" s="8"/>
      <c r="N880" s="8"/>
    </row>
    <row r="881">
      <c r="A881" s="10"/>
      <c r="B881" s="5"/>
      <c r="H881" s="6"/>
      <c r="I881" s="7"/>
      <c r="J881" s="8"/>
      <c r="K881" s="6"/>
      <c r="L881" s="8"/>
      <c r="N881" s="8"/>
    </row>
    <row r="882">
      <c r="A882" s="10"/>
      <c r="B882" s="5"/>
      <c r="H882" s="6"/>
      <c r="I882" s="7"/>
      <c r="J882" s="8"/>
      <c r="K882" s="6"/>
      <c r="L882" s="8"/>
      <c r="N882" s="8"/>
    </row>
    <row r="883">
      <c r="A883" s="10"/>
      <c r="B883" s="5"/>
      <c r="H883" s="6"/>
      <c r="I883" s="7"/>
      <c r="J883" s="8"/>
      <c r="K883" s="6"/>
      <c r="L883" s="8"/>
      <c r="N883" s="8"/>
    </row>
    <row r="884">
      <c r="A884" s="10"/>
      <c r="B884" s="5"/>
      <c r="H884" s="6"/>
      <c r="I884" s="7"/>
      <c r="J884" s="8"/>
      <c r="K884" s="6"/>
      <c r="L884" s="8"/>
      <c r="N884" s="8"/>
    </row>
    <row r="885">
      <c r="A885" s="10"/>
      <c r="B885" s="5"/>
      <c r="H885" s="6"/>
      <c r="I885" s="7"/>
      <c r="J885" s="8"/>
      <c r="K885" s="6"/>
      <c r="L885" s="8"/>
      <c r="N885" s="8"/>
    </row>
    <row r="886">
      <c r="A886" s="10"/>
      <c r="B886" s="5"/>
      <c r="H886" s="6"/>
      <c r="I886" s="7"/>
      <c r="J886" s="8"/>
      <c r="K886" s="6"/>
      <c r="L886" s="8"/>
      <c r="N886" s="8"/>
    </row>
    <row r="887">
      <c r="A887" s="10"/>
      <c r="B887" s="5"/>
      <c r="H887" s="6"/>
      <c r="I887" s="7"/>
      <c r="J887" s="8"/>
      <c r="K887" s="6"/>
      <c r="L887" s="8"/>
      <c r="N887" s="8"/>
    </row>
    <row r="888">
      <c r="A888" s="10"/>
      <c r="B888" s="5"/>
      <c r="H888" s="6"/>
      <c r="I888" s="7"/>
      <c r="J888" s="8"/>
      <c r="K888" s="6"/>
      <c r="L888" s="8"/>
      <c r="N888" s="8"/>
    </row>
    <row r="889">
      <c r="A889" s="10"/>
      <c r="B889" s="5"/>
      <c r="H889" s="6"/>
      <c r="I889" s="7"/>
      <c r="J889" s="8"/>
      <c r="K889" s="6"/>
      <c r="L889" s="8"/>
      <c r="N889" s="8"/>
    </row>
    <row r="890">
      <c r="A890" s="10"/>
      <c r="B890" s="5"/>
      <c r="H890" s="6"/>
      <c r="I890" s="7"/>
      <c r="J890" s="8"/>
      <c r="K890" s="6"/>
      <c r="L890" s="8"/>
      <c r="N890" s="8"/>
    </row>
    <row r="891">
      <c r="A891" s="10"/>
      <c r="B891" s="5"/>
      <c r="H891" s="6"/>
      <c r="I891" s="7"/>
      <c r="J891" s="8"/>
      <c r="K891" s="6"/>
      <c r="L891" s="8"/>
      <c r="N891" s="8"/>
    </row>
    <row r="892">
      <c r="A892" s="10"/>
      <c r="B892" s="5"/>
      <c r="H892" s="6"/>
      <c r="I892" s="7"/>
      <c r="J892" s="8"/>
      <c r="K892" s="6"/>
      <c r="L892" s="8"/>
      <c r="N892" s="8"/>
    </row>
    <row r="893">
      <c r="A893" s="10"/>
      <c r="B893" s="5"/>
      <c r="H893" s="6"/>
      <c r="I893" s="7"/>
      <c r="J893" s="8"/>
      <c r="K893" s="6"/>
      <c r="L893" s="8"/>
      <c r="N893" s="8"/>
    </row>
    <row r="894">
      <c r="A894" s="10"/>
      <c r="B894" s="5"/>
      <c r="H894" s="6"/>
      <c r="I894" s="7"/>
      <c r="J894" s="8"/>
      <c r="K894" s="6"/>
      <c r="L894" s="8"/>
      <c r="N894" s="8"/>
    </row>
    <row r="895">
      <c r="A895" s="10"/>
      <c r="B895" s="5"/>
      <c r="H895" s="6"/>
      <c r="I895" s="7"/>
      <c r="J895" s="8"/>
      <c r="K895" s="6"/>
      <c r="L895" s="8"/>
      <c r="N895" s="8"/>
    </row>
    <row r="896">
      <c r="A896" s="10"/>
      <c r="B896" s="5"/>
      <c r="H896" s="6"/>
      <c r="I896" s="7"/>
      <c r="J896" s="8"/>
      <c r="K896" s="6"/>
      <c r="L896" s="8"/>
      <c r="N896" s="8"/>
    </row>
    <row r="897">
      <c r="A897" s="10"/>
      <c r="B897" s="5"/>
      <c r="H897" s="6"/>
      <c r="I897" s="7"/>
      <c r="J897" s="8"/>
      <c r="K897" s="6"/>
      <c r="L897" s="8"/>
      <c r="N897" s="8"/>
    </row>
    <row r="898">
      <c r="A898" s="10"/>
      <c r="B898" s="5"/>
      <c r="H898" s="6"/>
      <c r="I898" s="7"/>
      <c r="J898" s="8"/>
      <c r="K898" s="6"/>
      <c r="L898" s="8"/>
      <c r="N898" s="8"/>
    </row>
    <row r="899">
      <c r="A899" s="10"/>
      <c r="B899" s="5"/>
      <c r="H899" s="6"/>
      <c r="I899" s="7"/>
      <c r="J899" s="8"/>
      <c r="K899" s="6"/>
      <c r="L899" s="8"/>
      <c r="N899" s="8"/>
    </row>
    <row r="900">
      <c r="A900" s="10"/>
      <c r="B900" s="5"/>
      <c r="H900" s="6"/>
      <c r="I900" s="7"/>
      <c r="J900" s="8"/>
      <c r="K900" s="6"/>
      <c r="L900" s="8"/>
      <c r="N900" s="8"/>
    </row>
    <row r="901">
      <c r="A901" s="10"/>
      <c r="B901" s="5"/>
      <c r="H901" s="6"/>
      <c r="I901" s="7"/>
      <c r="J901" s="8"/>
      <c r="K901" s="6"/>
      <c r="L901" s="8"/>
      <c r="N901" s="8"/>
    </row>
    <row r="902">
      <c r="A902" s="10"/>
      <c r="B902" s="5"/>
      <c r="H902" s="6"/>
      <c r="I902" s="7"/>
      <c r="J902" s="8"/>
      <c r="K902" s="6"/>
      <c r="L902" s="8"/>
      <c r="N902" s="8"/>
    </row>
    <row r="903">
      <c r="A903" s="10"/>
      <c r="B903" s="5"/>
      <c r="H903" s="6"/>
      <c r="I903" s="7"/>
      <c r="J903" s="8"/>
      <c r="K903" s="6"/>
      <c r="L903" s="8"/>
      <c r="N903" s="8"/>
    </row>
    <row r="904">
      <c r="A904" s="10"/>
      <c r="B904" s="5"/>
      <c r="H904" s="6"/>
      <c r="I904" s="7"/>
      <c r="J904" s="8"/>
      <c r="K904" s="6"/>
      <c r="L904" s="8"/>
      <c r="N904" s="8"/>
    </row>
    <row r="905">
      <c r="A905" s="10"/>
      <c r="B905" s="5"/>
      <c r="H905" s="6"/>
      <c r="I905" s="7"/>
      <c r="J905" s="8"/>
      <c r="K905" s="6"/>
      <c r="L905" s="8"/>
      <c r="N905" s="8"/>
    </row>
    <row r="906">
      <c r="A906" s="10"/>
      <c r="B906" s="5"/>
      <c r="H906" s="6"/>
      <c r="I906" s="7"/>
      <c r="J906" s="8"/>
      <c r="K906" s="6"/>
      <c r="L906" s="8"/>
      <c r="N906" s="8"/>
    </row>
    <row r="907">
      <c r="A907" s="10"/>
      <c r="B907" s="5"/>
      <c r="H907" s="6"/>
      <c r="I907" s="7"/>
      <c r="J907" s="8"/>
      <c r="K907" s="6"/>
      <c r="L907" s="8"/>
      <c r="N907" s="8"/>
    </row>
    <row r="908">
      <c r="A908" s="10"/>
      <c r="B908" s="5"/>
      <c r="H908" s="6"/>
      <c r="I908" s="7"/>
      <c r="J908" s="8"/>
      <c r="K908" s="6"/>
      <c r="L908" s="8"/>
      <c r="N908" s="8"/>
    </row>
    <row r="909">
      <c r="A909" s="10"/>
      <c r="B909" s="5"/>
      <c r="H909" s="6"/>
      <c r="I909" s="7"/>
      <c r="J909" s="8"/>
      <c r="K909" s="6"/>
      <c r="L909" s="8"/>
      <c r="N909" s="8"/>
    </row>
    <row r="910">
      <c r="A910" s="10"/>
      <c r="B910" s="5"/>
      <c r="H910" s="6"/>
      <c r="I910" s="7"/>
      <c r="J910" s="8"/>
      <c r="K910" s="6"/>
      <c r="L910" s="8"/>
      <c r="N910" s="8"/>
    </row>
    <row r="911">
      <c r="A911" s="10"/>
      <c r="B911" s="5"/>
      <c r="H911" s="6"/>
      <c r="I911" s="7"/>
      <c r="J911" s="8"/>
      <c r="K911" s="6"/>
      <c r="L911" s="8"/>
      <c r="N911" s="8"/>
    </row>
    <row r="912">
      <c r="A912" s="10"/>
      <c r="B912" s="5"/>
      <c r="H912" s="6"/>
      <c r="I912" s="7"/>
      <c r="J912" s="8"/>
      <c r="K912" s="6"/>
      <c r="L912" s="8"/>
      <c r="N912" s="8"/>
    </row>
    <row r="913">
      <c r="A913" s="10"/>
      <c r="B913" s="5"/>
      <c r="H913" s="6"/>
      <c r="I913" s="7"/>
      <c r="J913" s="8"/>
      <c r="K913" s="6"/>
      <c r="L913" s="8"/>
      <c r="N913" s="8"/>
    </row>
    <row r="914">
      <c r="A914" s="10"/>
      <c r="B914" s="5"/>
      <c r="H914" s="6"/>
      <c r="I914" s="7"/>
      <c r="J914" s="8"/>
      <c r="K914" s="6"/>
      <c r="L914" s="8"/>
      <c r="N914" s="8"/>
    </row>
    <row r="915">
      <c r="A915" s="10"/>
      <c r="B915" s="5"/>
      <c r="H915" s="6"/>
      <c r="I915" s="7"/>
      <c r="J915" s="8"/>
      <c r="K915" s="6"/>
      <c r="L915" s="8"/>
      <c r="N915" s="8"/>
    </row>
    <row r="916">
      <c r="A916" s="10"/>
      <c r="B916" s="5"/>
      <c r="H916" s="6"/>
      <c r="I916" s="7"/>
      <c r="J916" s="8"/>
      <c r="K916" s="6"/>
      <c r="L916" s="8"/>
      <c r="N916" s="8"/>
    </row>
    <row r="917">
      <c r="A917" s="10"/>
      <c r="B917" s="5"/>
      <c r="H917" s="6"/>
      <c r="I917" s="7"/>
      <c r="J917" s="8"/>
      <c r="K917" s="6"/>
      <c r="L917" s="8"/>
      <c r="N917" s="8"/>
    </row>
    <row r="918">
      <c r="A918" s="10"/>
      <c r="B918" s="5"/>
      <c r="H918" s="6"/>
      <c r="I918" s="7"/>
      <c r="J918" s="8"/>
      <c r="K918" s="6"/>
      <c r="L918" s="8"/>
      <c r="N918" s="8"/>
    </row>
    <row r="919">
      <c r="A919" s="10"/>
      <c r="B919" s="5"/>
      <c r="H919" s="6"/>
      <c r="I919" s="7"/>
      <c r="J919" s="8"/>
      <c r="K919" s="6"/>
      <c r="L919" s="8"/>
      <c r="N919" s="8"/>
    </row>
    <row r="920">
      <c r="A920" s="10"/>
      <c r="B920" s="5"/>
      <c r="H920" s="6"/>
      <c r="I920" s="7"/>
      <c r="J920" s="8"/>
      <c r="K920" s="6"/>
      <c r="L920" s="8"/>
      <c r="N920" s="8"/>
    </row>
    <row r="921">
      <c r="A921" s="10"/>
      <c r="B921" s="5"/>
      <c r="H921" s="6"/>
      <c r="I921" s="7"/>
      <c r="J921" s="8"/>
      <c r="K921" s="6"/>
      <c r="L921" s="8"/>
      <c r="N921" s="8"/>
    </row>
    <row r="922">
      <c r="A922" s="10"/>
      <c r="B922" s="5"/>
      <c r="H922" s="6"/>
      <c r="I922" s="7"/>
      <c r="J922" s="8"/>
      <c r="K922" s="6"/>
      <c r="L922" s="8"/>
      <c r="N922" s="8"/>
    </row>
    <row r="923">
      <c r="A923" s="10"/>
      <c r="B923" s="5"/>
      <c r="H923" s="6"/>
      <c r="I923" s="7"/>
      <c r="J923" s="8"/>
      <c r="K923" s="6"/>
      <c r="L923" s="8"/>
      <c r="N923" s="8"/>
    </row>
    <row r="924">
      <c r="A924" s="10"/>
      <c r="B924" s="5"/>
      <c r="H924" s="6"/>
      <c r="I924" s="7"/>
      <c r="J924" s="8"/>
      <c r="K924" s="6"/>
      <c r="L924" s="8"/>
      <c r="N924" s="8"/>
    </row>
    <row r="925">
      <c r="A925" s="10"/>
      <c r="B925" s="5"/>
      <c r="H925" s="6"/>
      <c r="I925" s="7"/>
      <c r="J925" s="8"/>
      <c r="K925" s="6"/>
      <c r="L925" s="8"/>
      <c r="N925" s="8"/>
    </row>
    <row r="926">
      <c r="A926" s="10"/>
      <c r="B926" s="5"/>
      <c r="H926" s="6"/>
      <c r="I926" s="7"/>
      <c r="J926" s="8"/>
      <c r="K926" s="6"/>
      <c r="L926" s="8"/>
      <c r="N926" s="8"/>
    </row>
    <row r="927">
      <c r="A927" s="10"/>
      <c r="B927" s="5"/>
      <c r="H927" s="6"/>
      <c r="I927" s="7"/>
      <c r="J927" s="8"/>
      <c r="K927" s="6"/>
      <c r="L927" s="8"/>
      <c r="N927" s="8"/>
    </row>
    <row r="928">
      <c r="A928" s="10"/>
      <c r="B928" s="5"/>
      <c r="H928" s="6"/>
      <c r="I928" s="7"/>
      <c r="J928" s="8"/>
      <c r="K928" s="6"/>
      <c r="L928" s="8"/>
      <c r="N928" s="8"/>
    </row>
    <row r="929">
      <c r="A929" s="10"/>
      <c r="B929" s="5"/>
      <c r="H929" s="6"/>
      <c r="I929" s="7"/>
      <c r="J929" s="8"/>
      <c r="K929" s="6"/>
      <c r="L929" s="8"/>
      <c r="N929" s="8"/>
    </row>
    <row r="930">
      <c r="A930" s="10"/>
      <c r="B930" s="5"/>
      <c r="H930" s="6"/>
      <c r="I930" s="7"/>
      <c r="J930" s="8"/>
      <c r="K930" s="6"/>
      <c r="L930" s="8"/>
      <c r="N930" s="8"/>
    </row>
    <row r="931">
      <c r="A931" s="10"/>
      <c r="B931" s="5"/>
      <c r="H931" s="6"/>
      <c r="I931" s="7"/>
      <c r="J931" s="8"/>
      <c r="K931" s="6"/>
      <c r="L931" s="8"/>
      <c r="N931" s="8"/>
    </row>
    <row r="932">
      <c r="A932" s="10"/>
      <c r="B932" s="5"/>
      <c r="H932" s="6"/>
      <c r="I932" s="7"/>
      <c r="J932" s="8"/>
      <c r="K932" s="6"/>
      <c r="L932" s="8"/>
      <c r="N932" s="8"/>
    </row>
    <row r="933">
      <c r="A933" s="10"/>
      <c r="B933" s="5"/>
      <c r="H933" s="6"/>
      <c r="I933" s="7"/>
      <c r="J933" s="8"/>
      <c r="K933" s="6"/>
      <c r="L933" s="8"/>
      <c r="N933" s="8"/>
    </row>
    <row r="934">
      <c r="A934" s="10"/>
      <c r="B934" s="5"/>
      <c r="H934" s="6"/>
      <c r="I934" s="7"/>
      <c r="J934" s="8"/>
      <c r="K934" s="6"/>
      <c r="L934" s="8"/>
      <c r="N934" s="8"/>
    </row>
    <row r="935">
      <c r="A935" s="10"/>
      <c r="B935" s="5"/>
      <c r="H935" s="6"/>
      <c r="I935" s="7"/>
      <c r="J935" s="8"/>
      <c r="K935" s="6"/>
      <c r="L935" s="8"/>
      <c r="N935" s="8"/>
    </row>
    <row r="936">
      <c r="A936" s="10"/>
      <c r="B936" s="5"/>
      <c r="H936" s="6"/>
      <c r="I936" s="7"/>
      <c r="J936" s="8"/>
      <c r="K936" s="6"/>
      <c r="L936" s="8"/>
      <c r="N936" s="8"/>
    </row>
    <row r="937">
      <c r="A937" s="10"/>
      <c r="B937" s="5"/>
      <c r="H937" s="6"/>
      <c r="I937" s="7"/>
      <c r="J937" s="8"/>
      <c r="K937" s="6"/>
      <c r="L937" s="8"/>
      <c r="N937" s="8"/>
    </row>
    <row r="938">
      <c r="A938" s="10"/>
      <c r="B938" s="5"/>
      <c r="H938" s="6"/>
      <c r="I938" s="7"/>
      <c r="J938" s="8"/>
      <c r="K938" s="6"/>
      <c r="L938" s="8"/>
      <c r="N938" s="8"/>
    </row>
    <row r="939">
      <c r="A939" s="10"/>
      <c r="B939" s="5"/>
      <c r="H939" s="6"/>
      <c r="I939" s="7"/>
      <c r="J939" s="8"/>
      <c r="K939" s="6"/>
      <c r="L939" s="8"/>
      <c r="N939" s="8"/>
    </row>
    <row r="940">
      <c r="A940" s="10"/>
      <c r="B940" s="5"/>
      <c r="H940" s="6"/>
      <c r="I940" s="7"/>
      <c r="J940" s="8"/>
      <c r="K940" s="6"/>
      <c r="L940" s="8"/>
      <c r="N940" s="8"/>
    </row>
    <row r="941">
      <c r="A941" s="10"/>
      <c r="B941" s="5"/>
      <c r="H941" s="6"/>
      <c r="I941" s="7"/>
      <c r="J941" s="8"/>
      <c r="K941" s="6"/>
      <c r="L941" s="8"/>
      <c r="N941" s="8"/>
    </row>
    <row r="942">
      <c r="A942" s="10"/>
      <c r="B942" s="5"/>
      <c r="H942" s="6"/>
      <c r="I942" s="7"/>
      <c r="J942" s="8"/>
      <c r="K942" s="6"/>
      <c r="L942" s="8"/>
      <c r="N942" s="8"/>
    </row>
    <row r="943">
      <c r="A943" s="10"/>
      <c r="B943" s="5"/>
      <c r="H943" s="6"/>
      <c r="I943" s="7"/>
      <c r="J943" s="8"/>
      <c r="K943" s="6"/>
      <c r="L943" s="8"/>
      <c r="N943" s="8"/>
    </row>
    <row r="944">
      <c r="A944" s="10"/>
      <c r="B944" s="5"/>
      <c r="H944" s="6"/>
      <c r="I944" s="7"/>
      <c r="J944" s="8"/>
      <c r="K944" s="6"/>
      <c r="L944" s="8"/>
      <c r="N944" s="8"/>
    </row>
    <row r="945">
      <c r="A945" s="10"/>
      <c r="B945" s="5"/>
      <c r="H945" s="6"/>
      <c r="I945" s="7"/>
      <c r="J945" s="8"/>
      <c r="K945" s="6"/>
      <c r="L945" s="8"/>
      <c r="N945" s="8"/>
    </row>
    <row r="946">
      <c r="A946" s="10"/>
      <c r="B946" s="5"/>
      <c r="H946" s="6"/>
      <c r="I946" s="7"/>
      <c r="J946" s="8"/>
      <c r="K946" s="6"/>
      <c r="L946" s="8"/>
      <c r="N946" s="8"/>
    </row>
    <row r="947">
      <c r="A947" s="10"/>
      <c r="B947" s="5"/>
      <c r="H947" s="6"/>
      <c r="I947" s="7"/>
      <c r="J947" s="8"/>
      <c r="K947" s="6"/>
      <c r="L947" s="8"/>
      <c r="N947" s="8"/>
    </row>
    <row r="948">
      <c r="A948" s="10"/>
      <c r="B948" s="5"/>
      <c r="H948" s="6"/>
      <c r="I948" s="7"/>
      <c r="J948" s="8"/>
      <c r="K948" s="6"/>
      <c r="L948" s="8"/>
      <c r="N948" s="8"/>
    </row>
    <row r="949">
      <c r="A949" s="10"/>
      <c r="B949" s="5"/>
      <c r="H949" s="6"/>
      <c r="I949" s="7"/>
      <c r="J949" s="8"/>
      <c r="K949" s="6"/>
      <c r="L949" s="8"/>
      <c r="N949" s="8"/>
    </row>
    <row r="950">
      <c r="A950" s="10"/>
      <c r="B950" s="5"/>
      <c r="H950" s="6"/>
      <c r="I950" s="7"/>
      <c r="J950" s="8"/>
      <c r="K950" s="6"/>
      <c r="L950" s="8"/>
      <c r="N950" s="8"/>
    </row>
    <row r="951">
      <c r="A951" s="10"/>
      <c r="B951" s="5"/>
      <c r="H951" s="6"/>
      <c r="I951" s="7"/>
      <c r="J951" s="8"/>
      <c r="K951" s="6"/>
      <c r="L951" s="8"/>
      <c r="N951" s="8"/>
    </row>
    <row r="952">
      <c r="A952" s="10"/>
      <c r="B952" s="5"/>
      <c r="H952" s="6"/>
      <c r="I952" s="7"/>
      <c r="J952" s="8"/>
      <c r="K952" s="6"/>
      <c r="L952" s="8"/>
      <c r="N952" s="8"/>
    </row>
    <row r="953">
      <c r="A953" s="10"/>
      <c r="B953" s="5"/>
      <c r="H953" s="6"/>
      <c r="I953" s="7"/>
      <c r="J953" s="8"/>
      <c r="K953" s="6"/>
      <c r="L953" s="8"/>
      <c r="N953" s="8"/>
    </row>
    <row r="954">
      <c r="A954" s="10"/>
      <c r="B954" s="5"/>
      <c r="H954" s="6"/>
      <c r="I954" s="7"/>
      <c r="J954" s="8"/>
      <c r="K954" s="6"/>
      <c r="L954" s="8"/>
      <c r="N954" s="8"/>
    </row>
    <row r="955">
      <c r="A955" s="10"/>
      <c r="B955" s="5"/>
      <c r="H955" s="6"/>
      <c r="I955" s="7"/>
      <c r="J955" s="8"/>
      <c r="K955" s="6"/>
      <c r="L955" s="8"/>
      <c r="N955" s="8"/>
    </row>
    <row r="956">
      <c r="A956" s="10"/>
      <c r="B956" s="5"/>
      <c r="H956" s="6"/>
      <c r="I956" s="7"/>
      <c r="J956" s="8"/>
      <c r="K956" s="6"/>
      <c r="L956" s="8"/>
      <c r="N956" s="8"/>
    </row>
    <row r="957">
      <c r="A957" s="10"/>
      <c r="B957" s="5"/>
      <c r="H957" s="6"/>
      <c r="I957" s="7"/>
      <c r="J957" s="8"/>
      <c r="K957" s="6"/>
      <c r="L957" s="8"/>
      <c r="N957" s="8"/>
    </row>
    <row r="958">
      <c r="A958" s="10"/>
      <c r="B958" s="5"/>
      <c r="H958" s="6"/>
      <c r="I958" s="7"/>
      <c r="J958" s="8"/>
      <c r="K958" s="6"/>
      <c r="L958" s="8"/>
      <c r="N958" s="8"/>
    </row>
    <row r="959">
      <c r="A959" s="10"/>
      <c r="B959" s="5"/>
      <c r="H959" s="6"/>
      <c r="I959" s="7"/>
      <c r="J959" s="8"/>
      <c r="K959" s="6"/>
      <c r="L959" s="8"/>
      <c r="N959" s="8"/>
    </row>
    <row r="960">
      <c r="A960" s="10"/>
      <c r="B960" s="5"/>
      <c r="H960" s="6"/>
      <c r="I960" s="7"/>
      <c r="J960" s="8"/>
      <c r="K960" s="6"/>
      <c r="L960" s="8"/>
      <c r="N960" s="8"/>
    </row>
    <row r="961">
      <c r="A961" s="10"/>
      <c r="B961" s="5"/>
      <c r="H961" s="6"/>
      <c r="I961" s="7"/>
      <c r="J961" s="8"/>
      <c r="K961" s="6"/>
      <c r="L961" s="8"/>
      <c r="N961" s="8"/>
    </row>
    <row r="962">
      <c r="A962" s="10"/>
      <c r="B962" s="5"/>
      <c r="H962" s="6"/>
      <c r="I962" s="7"/>
      <c r="J962" s="8"/>
      <c r="K962" s="6"/>
      <c r="L962" s="8"/>
      <c r="N962" s="8"/>
    </row>
    <row r="963">
      <c r="A963" s="10"/>
      <c r="B963" s="5"/>
      <c r="H963" s="6"/>
      <c r="I963" s="7"/>
      <c r="J963" s="8"/>
      <c r="K963" s="6"/>
      <c r="L963" s="8"/>
      <c r="N963" s="8"/>
    </row>
    <row r="964">
      <c r="A964" s="10"/>
      <c r="B964" s="5"/>
      <c r="H964" s="6"/>
      <c r="I964" s="7"/>
      <c r="J964" s="8"/>
      <c r="K964" s="6"/>
      <c r="L964" s="8"/>
      <c r="N964" s="8"/>
    </row>
    <row r="965">
      <c r="A965" s="10"/>
      <c r="B965" s="5"/>
      <c r="H965" s="6"/>
      <c r="I965" s="7"/>
      <c r="J965" s="8"/>
      <c r="K965" s="6"/>
      <c r="L965" s="8"/>
      <c r="N965" s="8"/>
    </row>
    <row r="966">
      <c r="A966" s="10"/>
      <c r="B966" s="5"/>
      <c r="H966" s="6"/>
      <c r="I966" s="7"/>
      <c r="J966" s="8"/>
      <c r="K966" s="6"/>
      <c r="L966" s="8"/>
      <c r="N966" s="8"/>
    </row>
    <row r="967">
      <c r="A967" s="10"/>
      <c r="B967" s="5"/>
      <c r="H967" s="6"/>
      <c r="I967" s="7"/>
      <c r="J967" s="8"/>
      <c r="K967" s="6"/>
      <c r="L967" s="8"/>
      <c r="N967" s="8"/>
    </row>
    <row r="968">
      <c r="A968" s="10"/>
      <c r="B968" s="5"/>
      <c r="H968" s="6"/>
      <c r="I968" s="7"/>
      <c r="J968" s="8"/>
      <c r="K968" s="6"/>
      <c r="L968" s="8"/>
      <c r="N968" s="8"/>
    </row>
    <row r="969">
      <c r="A969" s="10"/>
      <c r="B969" s="5"/>
      <c r="H969" s="6"/>
      <c r="I969" s="7"/>
      <c r="J969" s="8"/>
      <c r="K969" s="6"/>
      <c r="L969" s="8"/>
      <c r="N969" s="8"/>
    </row>
    <row r="970">
      <c r="A970" s="10"/>
      <c r="B970" s="5"/>
      <c r="H970" s="6"/>
      <c r="I970" s="7"/>
      <c r="J970" s="8"/>
      <c r="K970" s="6"/>
      <c r="L970" s="8"/>
      <c r="N970" s="8"/>
    </row>
    <row r="971">
      <c r="A971" s="10"/>
      <c r="B971" s="5"/>
      <c r="H971" s="6"/>
      <c r="I971" s="7"/>
      <c r="J971" s="8"/>
      <c r="K971" s="6"/>
      <c r="L971" s="8"/>
      <c r="N971" s="8"/>
    </row>
    <row r="972">
      <c r="A972" s="10"/>
      <c r="B972" s="5"/>
      <c r="H972" s="6"/>
      <c r="I972" s="7"/>
      <c r="J972" s="8"/>
      <c r="K972" s="6"/>
      <c r="L972" s="8"/>
      <c r="N972" s="8"/>
    </row>
    <row r="973">
      <c r="A973" s="10"/>
      <c r="B973" s="5"/>
      <c r="H973" s="6"/>
      <c r="I973" s="7"/>
      <c r="J973" s="8"/>
      <c r="K973" s="6"/>
      <c r="L973" s="8"/>
      <c r="N973" s="8"/>
    </row>
    <row r="974">
      <c r="A974" s="10"/>
      <c r="B974" s="5"/>
      <c r="H974" s="6"/>
      <c r="I974" s="7"/>
      <c r="J974" s="8"/>
      <c r="K974" s="6"/>
      <c r="L974" s="8"/>
      <c r="N974" s="8"/>
    </row>
    <row r="975">
      <c r="A975" s="10"/>
      <c r="B975" s="5"/>
      <c r="H975" s="6"/>
      <c r="I975" s="7"/>
      <c r="J975" s="8"/>
      <c r="K975" s="6"/>
      <c r="L975" s="8"/>
      <c r="N975" s="8"/>
    </row>
    <row r="976">
      <c r="A976" s="10"/>
      <c r="B976" s="5"/>
      <c r="H976" s="6"/>
      <c r="I976" s="7"/>
      <c r="J976" s="8"/>
      <c r="K976" s="6"/>
      <c r="L976" s="8"/>
      <c r="N976" s="8"/>
    </row>
    <row r="977">
      <c r="A977" s="10"/>
      <c r="B977" s="5"/>
      <c r="H977" s="6"/>
      <c r="I977" s="7"/>
      <c r="J977" s="8"/>
      <c r="K977" s="6"/>
      <c r="L977" s="8"/>
      <c r="N977" s="8"/>
    </row>
    <row r="978">
      <c r="A978" s="10"/>
      <c r="B978" s="5"/>
      <c r="H978" s="6"/>
      <c r="I978" s="7"/>
      <c r="J978" s="8"/>
      <c r="K978" s="6"/>
      <c r="L978" s="8"/>
      <c r="N978" s="8"/>
    </row>
    <row r="979">
      <c r="A979" s="10"/>
      <c r="B979" s="5"/>
      <c r="H979" s="6"/>
      <c r="I979" s="7"/>
      <c r="J979" s="8"/>
      <c r="K979" s="6"/>
      <c r="L979" s="8"/>
      <c r="N979" s="8"/>
    </row>
    <row r="980">
      <c r="A980" s="10"/>
      <c r="B980" s="5"/>
      <c r="H980" s="6"/>
      <c r="I980" s="7"/>
      <c r="J980" s="8"/>
      <c r="K980" s="6"/>
      <c r="L980" s="8"/>
      <c r="N980" s="8"/>
    </row>
    <row r="981">
      <c r="A981" s="10"/>
      <c r="B981" s="5"/>
      <c r="H981" s="6"/>
      <c r="I981" s="7"/>
      <c r="J981" s="8"/>
      <c r="K981" s="6"/>
      <c r="L981" s="8"/>
      <c r="N981" s="8"/>
    </row>
    <row r="982">
      <c r="A982" s="10"/>
      <c r="B982" s="5"/>
      <c r="H982" s="6"/>
      <c r="I982" s="7"/>
      <c r="J982" s="8"/>
      <c r="K982" s="6"/>
      <c r="L982" s="8"/>
      <c r="N982" s="8"/>
    </row>
    <row r="983">
      <c r="A983" s="10"/>
      <c r="B983" s="5"/>
      <c r="H983" s="6"/>
      <c r="I983" s="7"/>
      <c r="J983" s="8"/>
      <c r="K983" s="6"/>
      <c r="L983" s="8"/>
      <c r="N983" s="8"/>
    </row>
    <row r="984">
      <c r="A984" s="10"/>
      <c r="B984" s="5"/>
      <c r="H984" s="6"/>
      <c r="I984" s="7"/>
      <c r="J984" s="8"/>
      <c r="K984" s="6"/>
      <c r="L984" s="8"/>
      <c r="N984" s="8"/>
    </row>
    <row r="985">
      <c r="A985" s="10"/>
      <c r="B985" s="5"/>
      <c r="H985" s="6"/>
      <c r="I985" s="7"/>
      <c r="J985" s="8"/>
      <c r="K985" s="6"/>
      <c r="L985" s="8"/>
      <c r="N985" s="8"/>
    </row>
    <row r="986">
      <c r="A986" s="10"/>
      <c r="B986" s="5"/>
      <c r="H986" s="6"/>
      <c r="I986" s="7"/>
      <c r="J986" s="8"/>
      <c r="K986" s="6"/>
      <c r="L986" s="8"/>
      <c r="N986" s="8"/>
    </row>
    <row r="987">
      <c r="A987" s="10"/>
      <c r="B987" s="5"/>
      <c r="H987" s="6"/>
      <c r="I987" s="7"/>
      <c r="J987" s="8"/>
      <c r="K987" s="6"/>
      <c r="L987" s="8"/>
      <c r="N987" s="8"/>
    </row>
    <row r="988">
      <c r="A988" s="10"/>
      <c r="B988" s="5"/>
      <c r="H988" s="6"/>
      <c r="I988" s="7"/>
      <c r="J988" s="8"/>
      <c r="K988" s="6"/>
      <c r="L988" s="8"/>
      <c r="N988" s="8"/>
    </row>
    <row r="989">
      <c r="A989" s="10"/>
      <c r="B989" s="5"/>
      <c r="H989" s="6"/>
      <c r="I989" s="7"/>
      <c r="J989" s="8"/>
      <c r="K989" s="6"/>
      <c r="L989" s="8"/>
      <c r="N989" s="8"/>
    </row>
    <row r="990">
      <c r="A990" s="10"/>
      <c r="B990" s="5"/>
      <c r="H990" s="6"/>
      <c r="I990" s="7"/>
      <c r="J990" s="8"/>
      <c r="K990" s="6"/>
      <c r="L990" s="8"/>
      <c r="N990" s="8"/>
    </row>
    <row r="991">
      <c r="A991" s="10"/>
      <c r="B991" s="5"/>
      <c r="H991" s="6"/>
      <c r="I991" s="7"/>
      <c r="J991" s="8"/>
      <c r="K991" s="6"/>
      <c r="L991" s="8"/>
      <c r="N991" s="8"/>
    </row>
    <row r="992">
      <c r="A992" s="10"/>
      <c r="B992" s="5"/>
      <c r="H992" s="6"/>
      <c r="I992" s="7"/>
      <c r="J992" s="8"/>
      <c r="K992" s="6"/>
      <c r="L992" s="8"/>
      <c r="N992" s="8"/>
    </row>
    <row r="993">
      <c r="A993" s="10"/>
      <c r="B993" s="5"/>
      <c r="H993" s="6"/>
      <c r="I993" s="7"/>
      <c r="J993" s="8"/>
      <c r="K993" s="6"/>
      <c r="L993" s="8"/>
      <c r="N993" s="8"/>
    </row>
    <row r="994">
      <c r="A994" s="10"/>
      <c r="B994" s="5"/>
      <c r="H994" s="6"/>
      <c r="I994" s="7"/>
      <c r="J994" s="8"/>
      <c r="K994" s="6"/>
      <c r="L994" s="8"/>
      <c r="N994" s="8"/>
    </row>
    <row r="995">
      <c r="A995" s="10"/>
      <c r="B995" s="5"/>
      <c r="H995" s="6"/>
      <c r="I995" s="7"/>
      <c r="J995" s="8"/>
      <c r="K995" s="6"/>
      <c r="L995" s="8"/>
      <c r="N995" s="8"/>
    </row>
    <row r="996">
      <c r="A996" s="10"/>
      <c r="B996" s="5"/>
      <c r="H996" s="6"/>
      <c r="I996" s="7"/>
      <c r="J996" s="8"/>
      <c r="K996" s="6"/>
      <c r="L996" s="8"/>
      <c r="N996" s="8"/>
    </row>
    <row r="997">
      <c r="A997" s="10"/>
      <c r="B997" s="5"/>
      <c r="H997" s="6"/>
      <c r="I997" s="7"/>
      <c r="J997" s="8"/>
      <c r="K997" s="6"/>
      <c r="L997" s="8"/>
      <c r="N997" s="8"/>
    </row>
    <row r="998">
      <c r="A998" s="10"/>
      <c r="B998" s="5"/>
      <c r="H998" s="6"/>
      <c r="I998" s="7"/>
      <c r="J998" s="8"/>
      <c r="K998" s="6"/>
      <c r="L998" s="8"/>
      <c r="N998" s="8"/>
    </row>
    <row r="999">
      <c r="A999" s="10"/>
      <c r="B999" s="5"/>
      <c r="H999" s="6"/>
      <c r="I999" s="7"/>
      <c r="J999" s="8"/>
      <c r="K999" s="6"/>
      <c r="L999" s="8"/>
      <c r="N999" s="8"/>
    </row>
    <row r="1000">
      <c r="A1000" s="10"/>
      <c r="B1000" s="5"/>
      <c r="H1000" s="6"/>
      <c r="I1000" s="7"/>
      <c r="J1000" s="8"/>
      <c r="K1000" s="6"/>
      <c r="L1000" s="8"/>
      <c r="N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0" width="18.88"/>
    <col customWidth="1" min="11" max="11" width="27.13"/>
    <col customWidth="1" min="12" max="13" width="18.88"/>
    <col customWidth="1" min="14" max="18" width="25.13"/>
    <col customWidth="1" min="19" max="19" width="18.88"/>
  </cols>
  <sheetData>
    <row r="1" ht="37.5" customHeight="1">
      <c r="A1" s="11" t="s">
        <v>59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ht="37.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ht="37.5" customHeight="1">
      <c r="A3" s="12"/>
      <c r="B3" s="12"/>
      <c r="C3" s="13"/>
      <c r="D3" s="14"/>
      <c r="E3" s="15"/>
      <c r="F3" s="15"/>
      <c r="G3" s="15"/>
      <c r="Q3" s="13"/>
    </row>
    <row r="4" ht="37.5" customHeight="1">
      <c r="A4" s="16"/>
      <c r="B4" s="17" t="s">
        <v>60</v>
      </c>
      <c r="C4" s="18"/>
      <c r="F4" s="19" t="s">
        <v>61</v>
      </c>
      <c r="G4" s="20"/>
      <c r="J4" s="19" t="s">
        <v>62</v>
      </c>
      <c r="K4" s="20"/>
    </row>
    <row r="5" ht="37.5" customHeight="1">
      <c r="A5" s="21"/>
    </row>
    <row r="6" ht="37.5" customHeight="1">
      <c r="A6" s="27"/>
    </row>
    <row r="7" ht="37.5" customHeight="1">
      <c r="A7" s="27"/>
    </row>
    <row r="8" ht="37.5" customHeight="1">
      <c r="A8" s="27"/>
    </row>
    <row r="9" ht="37.5" customHeight="1"/>
    <row r="10" ht="37.5" customHeight="1">
      <c r="B10" s="35"/>
      <c r="C10" s="36"/>
    </row>
    <row r="11" ht="37.5" hidden="1" customHeight="1">
      <c r="A11" s="12"/>
      <c r="B11" s="12"/>
      <c r="C11" s="13"/>
      <c r="G11" s="13"/>
    </row>
    <row r="12" ht="37.5" hidden="1" customHeight="1">
      <c r="A12" s="12"/>
      <c r="B12" s="12"/>
      <c r="C12" s="13"/>
      <c r="K12" s="12"/>
      <c r="Q12" s="13"/>
    </row>
    <row r="13" ht="37.5" hidden="1" customHeight="1">
      <c r="A13" s="12"/>
      <c r="B13" s="12"/>
      <c r="C13" s="13"/>
      <c r="Q13" s="13"/>
    </row>
    <row r="14" ht="37.5" hidden="1" customHeight="1">
      <c r="Q14" s="13"/>
    </row>
    <row r="15" ht="37.5" hidden="1" customHeight="1">
      <c r="K15" s="35"/>
      <c r="L15" s="35"/>
      <c r="M15" s="35"/>
      <c r="N15" s="35"/>
      <c r="Q15" s="37"/>
    </row>
    <row r="16" ht="37.5" hidden="1" customHeight="1">
      <c r="K16" s="35"/>
      <c r="L16" s="35"/>
      <c r="M16" s="35"/>
      <c r="N16" s="35"/>
      <c r="Q16" s="37"/>
    </row>
    <row r="17" ht="37.5" hidden="1" customHeight="1">
      <c r="K17" s="35"/>
      <c r="L17" s="35"/>
      <c r="M17" s="35"/>
      <c r="N17" s="35"/>
      <c r="Q17" s="36"/>
      <c r="R17" s="35"/>
    </row>
    <row r="18" ht="37.5" hidden="1" customHeight="1">
      <c r="K18" s="35"/>
      <c r="L18" s="35"/>
      <c r="M18" s="35"/>
      <c r="N18" s="35"/>
      <c r="Q18" s="36"/>
      <c r="R18" s="35"/>
    </row>
    <row r="19" ht="40.5" hidden="1" customHeight="1">
      <c r="K19" s="35"/>
      <c r="L19" s="35"/>
      <c r="M19" s="35"/>
      <c r="N19" s="35"/>
      <c r="Q19" s="36"/>
      <c r="R19" s="35"/>
    </row>
    <row r="20" ht="37.5" hidden="1" customHeight="1">
      <c r="K20" s="35"/>
      <c r="L20" s="35"/>
      <c r="M20" s="35"/>
      <c r="N20" s="35"/>
      <c r="Q20" s="36"/>
      <c r="R20" s="35"/>
    </row>
    <row r="21" ht="37.5" hidden="1" customHeight="1">
      <c r="K21" s="35"/>
      <c r="L21" s="35"/>
      <c r="M21" s="35"/>
      <c r="N21" s="35"/>
      <c r="Q21" s="36"/>
      <c r="R21" s="35"/>
    </row>
    <row r="22" ht="37.5" hidden="1" customHeight="1">
      <c r="C22" s="13"/>
      <c r="E22" s="12"/>
      <c r="Q22" s="36"/>
      <c r="R22" s="35"/>
    </row>
    <row r="23" ht="37.5" hidden="1" customHeight="1">
      <c r="C23" s="13"/>
      <c r="E23" s="16"/>
      <c r="Q23" s="36"/>
      <c r="R23" s="35"/>
    </row>
    <row r="24" ht="37.5" hidden="1" customHeight="1">
      <c r="C24" s="13"/>
      <c r="E24" s="38"/>
      <c r="H24" s="39"/>
      <c r="Q24" s="13"/>
    </row>
    <row r="25" ht="37.5" hidden="1" customHeight="1">
      <c r="C25" s="13"/>
      <c r="E25" s="38"/>
      <c r="Q25" s="13"/>
    </row>
    <row r="26" ht="37.5" hidden="1" customHeight="1">
      <c r="C26" s="13"/>
      <c r="Q26" s="13"/>
    </row>
    <row r="27" ht="37.5" hidden="1" customHeight="1">
      <c r="C27" s="13"/>
      <c r="Q27" s="13"/>
    </row>
    <row r="28" ht="37.5" hidden="1" customHeight="1">
      <c r="C28" s="13"/>
      <c r="F28" s="40"/>
      <c r="J28" s="12"/>
      <c r="Q28" s="13"/>
    </row>
    <row r="29" ht="37.5" hidden="1" customHeight="1">
      <c r="C29" s="13"/>
      <c r="F29" s="41"/>
      <c r="J29" s="12"/>
      <c r="Q29" s="13"/>
    </row>
    <row r="30" ht="37.5" hidden="1" customHeight="1">
      <c r="C30" s="13"/>
      <c r="Q30" s="13"/>
    </row>
    <row r="31" hidden="1">
      <c r="C31" s="13"/>
      <c r="Q31" s="13"/>
    </row>
    <row r="32" hidden="1">
      <c r="C32" s="13"/>
      <c r="Q32" s="13"/>
    </row>
    <row r="33" hidden="1">
      <c r="C33" s="13"/>
      <c r="Q33" s="13"/>
    </row>
    <row r="34" hidden="1">
      <c r="C34" s="13"/>
      <c r="Q34" s="13"/>
    </row>
    <row r="35" hidden="1">
      <c r="C35" s="13"/>
      <c r="Q35" s="13"/>
    </row>
    <row r="36" hidden="1">
      <c r="C36" s="13"/>
      <c r="Q36" s="13"/>
    </row>
    <row r="37" hidden="1">
      <c r="C37" s="13"/>
      <c r="Q37" s="13"/>
    </row>
    <row r="38" hidden="1">
      <c r="C38" s="13"/>
      <c r="Q38" s="13"/>
    </row>
    <row r="39" hidden="1">
      <c r="C39" s="13"/>
      <c r="Q39" s="13"/>
    </row>
    <row r="40" hidden="1">
      <c r="C40" s="13"/>
      <c r="Q40" s="13"/>
    </row>
    <row r="41" hidden="1">
      <c r="C41" s="13"/>
      <c r="Q41" s="13"/>
    </row>
    <row r="42" hidden="1">
      <c r="C42" s="13"/>
      <c r="Q42" s="13"/>
    </row>
    <row r="43" hidden="1">
      <c r="C43" s="13"/>
      <c r="Q43" s="13"/>
    </row>
    <row r="44" hidden="1">
      <c r="C44" s="13"/>
      <c r="Q44" s="13"/>
    </row>
    <row r="45" hidden="1">
      <c r="C45" s="13"/>
      <c r="Q45" s="13"/>
    </row>
    <row r="46" hidden="1">
      <c r="C46" s="13"/>
      <c r="Q46" s="13"/>
    </row>
    <row r="47" hidden="1">
      <c r="C47" s="13"/>
      <c r="Q47" s="13"/>
    </row>
    <row r="48" hidden="1">
      <c r="C48" s="13"/>
      <c r="Q48" s="13"/>
    </row>
    <row r="49" hidden="1">
      <c r="C49" s="13"/>
      <c r="Q49" s="13"/>
    </row>
    <row r="50" hidden="1">
      <c r="C50" s="13"/>
      <c r="Q50" s="13"/>
    </row>
    <row r="51" hidden="1">
      <c r="C51" s="13"/>
      <c r="Q51" s="13"/>
    </row>
    <row r="52" hidden="1">
      <c r="C52" s="13"/>
      <c r="Q52" s="13"/>
    </row>
    <row r="53" hidden="1">
      <c r="C53" s="13"/>
      <c r="Q53" s="13"/>
    </row>
    <row r="54" hidden="1">
      <c r="C54" s="13"/>
      <c r="Q54" s="13"/>
    </row>
    <row r="55" hidden="1">
      <c r="C55" s="13"/>
      <c r="Q55" s="13"/>
    </row>
    <row r="56" hidden="1">
      <c r="C56" s="13"/>
      <c r="Q56" s="13"/>
    </row>
    <row r="57" hidden="1">
      <c r="C57" s="13"/>
      <c r="Q57" s="13"/>
    </row>
    <row r="58" hidden="1">
      <c r="C58" s="13"/>
      <c r="Q58" s="13"/>
    </row>
    <row r="59" hidden="1">
      <c r="C59" s="13"/>
      <c r="Q59" s="13"/>
    </row>
    <row r="60" hidden="1">
      <c r="C60" s="13"/>
      <c r="Q60" s="13"/>
    </row>
    <row r="61" hidden="1">
      <c r="C61" s="13"/>
      <c r="Q61" s="13"/>
    </row>
    <row r="62" hidden="1">
      <c r="C62" s="13"/>
      <c r="Q62" s="13"/>
    </row>
    <row r="63" hidden="1">
      <c r="C63" s="13"/>
      <c r="Q63" s="13"/>
    </row>
    <row r="64" hidden="1">
      <c r="C64" s="13"/>
      <c r="Q64" s="13"/>
    </row>
    <row r="65" hidden="1">
      <c r="C65" s="13"/>
      <c r="Q65" s="13"/>
    </row>
    <row r="66" hidden="1">
      <c r="C66" s="13"/>
      <c r="Q66" s="13"/>
    </row>
    <row r="67" hidden="1">
      <c r="C67" s="13"/>
      <c r="Q67" s="13"/>
    </row>
    <row r="68" hidden="1">
      <c r="C68" s="13"/>
      <c r="Q68" s="13"/>
    </row>
    <row r="69" hidden="1">
      <c r="C69" s="13"/>
      <c r="Q69" s="13"/>
    </row>
    <row r="70" hidden="1">
      <c r="C70" s="13"/>
      <c r="Q70" s="13"/>
    </row>
    <row r="71" hidden="1">
      <c r="C71" s="13"/>
      <c r="Q71" s="13"/>
    </row>
    <row r="72" hidden="1">
      <c r="C72" s="13"/>
      <c r="Q72" s="13"/>
    </row>
    <row r="73" hidden="1">
      <c r="C73" s="13"/>
      <c r="Q73" s="13"/>
    </row>
    <row r="74" hidden="1">
      <c r="C74" s="13"/>
      <c r="Q74" s="13"/>
    </row>
    <row r="75" hidden="1">
      <c r="C75" s="13"/>
      <c r="Q75" s="13"/>
    </row>
    <row r="76" hidden="1">
      <c r="C76" s="13"/>
      <c r="Q76" s="13"/>
    </row>
    <row r="77" hidden="1">
      <c r="C77" s="13"/>
      <c r="Q77" s="13"/>
    </row>
    <row r="78" hidden="1">
      <c r="C78" s="13"/>
      <c r="Q78" s="13"/>
    </row>
    <row r="79" hidden="1">
      <c r="C79" s="13"/>
      <c r="Q79" s="13"/>
    </row>
    <row r="80" hidden="1">
      <c r="C80" s="13"/>
      <c r="Q80" s="13"/>
    </row>
    <row r="81" hidden="1">
      <c r="C81" s="13"/>
      <c r="Q81" s="13"/>
    </row>
    <row r="82" hidden="1">
      <c r="C82" s="13"/>
      <c r="Q82" s="13"/>
    </row>
    <row r="83" hidden="1">
      <c r="C83" s="13"/>
      <c r="Q83" s="13"/>
    </row>
    <row r="84" hidden="1">
      <c r="C84" s="13"/>
      <c r="Q84" s="13"/>
    </row>
    <row r="85" hidden="1">
      <c r="C85" s="13"/>
      <c r="Q85" s="13"/>
    </row>
    <row r="86" hidden="1">
      <c r="C86" s="13"/>
      <c r="Q86" s="13"/>
    </row>
    <row r="87" hidden="1">
      <c r="C87" s="13"/>
      <c r="Q87" s="13"/>
    </row>
    <row r="88" hidden="1">
      <c r="C88" s="13"/>
      <c r="Q88" s="13"/>
    </row>
    <row r="89" hidden="1">
      <c r="C89" s="13"/>
      <c r="Q89" s="13"/>
    </row>
    <row r="90" hidden="1">
      <c r="C90" s="13"/>
      <c r="Q90" s="13"/>
    </row>
    <row r="91" hidden="1">
      <c r="C91" s="13"/>
      <c r="Q91" s="13"/>
    </row>
    <row r="92" hidden="1">
      <c r="C92" s="13"/>
      <c r="Q92" s="13"/>
    </row>
    <row r="93" hidden="1">
      <c r="C93" s="13"/>
      <c r="Q93" s="13"/>
    </row>
    <row r="94" hidden="1">
      <c r="C94" s="13"/>
      <c r="Q94" s="13"/>
    </row>
    <row r="95" hidden="1">
      <c r="C95" s="13"/>
      <c r="Q95" s="13"/>
    </row>
    <row r="96" hidden="1">
      <c r="C96" s="13"/>
      <c r="Q96" s="13"/>
    </row>
    <row r="97" hidden="1">
      <c r="C97" s="13"/>
      <c r="Q97" s="13"/>
    </row>
    <row r="98" hidden="1">
      <c r="C98" s="13"/>
      <c r="Q98" s="13"/>
    </row>
    <row r="99" hidden="1">
      <c r="C99" s="13"/>
      <c r="Q99" s="13"/>
    </row>
    <row r="100" hidden="1">
      <c r="C100" s="13"/>
      <c r="Q100" s="13"/>
    </row>
    <row r="101" hidden="1">
      <c r="C101" s="13"/>
      <c r="Q101" s="13"/>
    </row>
    <row r="102" hidden="1">
      <c r="C102" s="13"/>
      <c r="Q102" s="13"/>
    </row>
    <row r="103" hidden="1">
      <c r="C103" s="13"/>
      <c r="Q103" s="13"/>
    </row>
    <row r="104" hidden="1">
      <c r="C104" s="13"/>
      <c r="Q104" s="13"/>
    </row>
    <row r="105" hidden="1">
      <c r="C105" s="13"/>
      <c r="Q105" s="13"/>
    </row>
    <row r="106" hidden="1">
      <c r="C106" s="13"/>
      <c r="Q106" s="13"/>
    </row>
    <row r="107" hidden="1">
      <c r="C107" s="13"/>
      <c r="Q107" s="13"/>
    </row>
    <row r="108" hidden="1">
      <c r="C108" s="13"/>
      <c r="Q108" s="13"/>
    </row>
    <row r="109" hidden="1">
      <c r="C109" s="13"/>
      <c r="Q109" s="13"/>
    </row>
    <row r="110" hidden="1">
      <c r="C110" s="13"/>
      <c r="Q110" s="13"/>
    </row>
    <row r="111" hidden="1">
      <c r="C111" s="13"/>
      <c r="Q111" s="13"/>
    </row>
    <row r="112" hidden="1">
      <c r="C112" s="13"/>
      <c r="Q112" s="13"/>
    </row>
    <row r="113" hidden="1">
      <c r="C113" s="13"/>
      <c r="Q113" s="13"/>
    </row>
    <row r="114" hidden="1">
      <c r="C114" s="13"/>
      <c r="Q114" s="13"/>
    </row>
    <row r="115" hidden="1">
      <c r="C115" s="13"/>
      <c r="Q115" s="13"/>
    </row>
    <row r="116" hidden="1">
      <c r="C116" s="13"/>
      <c r="Q116" s="13"/>
    </row>
    <row r="117" hidden="1">
      <c r="C117" s="13"/>
      <c r="Q117" s="13"/>
    </row>
    <row r="118" hidden="1">
      <c r="C118" s="13"/>
      <c r="Q118" s="13"/>
    </row>
    <row r="119" hidden="1">
      <c r="C119" s="13"/>
      <c r="Q119" s="13"/>
    </row>
    <row r="120" hidden="1">
      <c r="C120" s="13"/>
      <c r="Q120" s="13"/>
    </row>
    <row r="121" hidden="1">
      <c r="C121" s="13"/>
      <c r="Q121" s="13"/>
    </row>
    <row r="122" hidden="1">
      <c r="C122" s="13"/>
      <c r="Q122" s="13"/>
    </row>
    <row r="123" hidden="1">
      <c r="C123" s="13"/>
      <c r="Q123" s="13"/>
    </row>
    <row r="124" hidden="1">
      <c r="C124" s="13"/>
      <c r="Q124" s="13"/>
    </row>
    <row r="125" hidden="1">
      <c r="C125" s="13"/>
      <c r="Q125" s="13"/>
    </row>
    <row r="126" hidden="1">
      <c r="C126" s="13"/>
      <c r="Q126" s="13"/>
    </row>
    <row r="127" hidden="1">
      <c r="C127" s="13"/>
      <c r="Q127" s="13"/>
    </row>
    <row r="128" hidden="1">
      <c r="C128" s="13"/>
      <c r="Q128" s="13"/>
    </row>
    <row r="129" hidden="1">
      <c r="C129" s="13"/>
      <c r="Q129" s="13"/>
    </row>
    <row r="130" hidden="1">
      <c r="C130" s="13"/>
      <c r="Q130" s="13"/>
    </row>
    <row r="131" hidden="1">
      <c r="C131" s="13"/>
      <c r="Q131" s="13"/>
    </row>
    <row r="132" hidden="1">
      <c r="C132" s="13"/>
      <c r="Q132" s="13"/>
    </row>
    <row r="133" hidden="1">
      <c r="C133" s="13"/>
      <c r="Q133" s="13"/>
    </row>
    <row r="134" hidden="1">
      <c r="C134" s="13"/>
      <c r="Q134" s="13"/>
    </row>
    <row r="135" hidden="1">
      <c r="C135" s="13"/>
      <c r="Q135" s="13"/>
    </row>
    <row r="136" hidden="1">
      <c r="C136" s="13"/>
      <c r="Q136" s="13"/>
    </row>
    <row r="137" hidden="1">
      <c r="C137" s="13"/>
      <c r="Q137" s="13"/>
    </row>
    <row r="138" hidden="1">
      <c r="C138" s="13"/>
      <c r="Q138" s="13"/>
    </row>
    <row r="139" hidden="1">
      <c r="C139" s="13"/>
      <c r="Q139" s="13"/>
    </row>
    <row r="140" hidden="1">
      <c r="C140" s="13"/>
      <c r="Q140" s="13"/>
    </row>
    <row r="141" hidden="1">
      <c r="C141" s="13"/>
      <c r="Q141" s="13"/>
    </row>
    <row r="142" hidden="1">
      <c r="C142" s="13"/>
      <c r="Q142" s="13"/>
    </row>
    <row r="143" hidden="1">
      <c r="C143" s="13"/>
      <c r="Q143" s="13"/>
    </row>
    <row r="144" hidden="1">
      <c r="C144" s="13"/>
      <c r="Q144" s="13"/>
    </row>
    <row r="145" hidden="1">
      <c r="C145" s="13"/>
      <c r="Q145" s="13"/>
    </row>
    <row r="146" hidden="1">
      <c r="C146" s="13"/>
      <c r="Q146" s="13"/>
    </row>
    <row r="147" hidden="1">
      <c r="C147" s="13"/>
      <c r="Q147" s="13"/>
    </row>
    <row r="148" hidden="1">
      <c r="C148" s="13"/>
      <c r="Q148" s="13"/>
    </row>
    <row r="149" hidden="1">
      <c r="C149" s="13"/>
      <c r="Q149" s="13"/>
    </row>
    <row r="150" hidden="1">
      <c r="C150" s="13"/>
      <c r="Q150" s="13"/>
    </row>
    <row r="151" hidden="1">
      <c r="C151" s="13"/>
      <c r="Q151" s="13"/>
    </row>
    <row r="152" hidden="1">
      <c r="C152" s="13"/>
      <c r="Q152" s="13"/>
    </row>
    <row r="153" hidden="1">
      <c r="C153" s="13"/>
      <c r="Q153" s="13"/>
    </row>
    <row r="154" hidden="1">
      <c r="C154" s="13"/>
      <c r="Q154" s="13"/>
    </row>
    <row r="155" hidden="1">
      <c r="C155" s="13"/>
      <c r="Q155" s="13"/>
    </row>
    <row r="156" hidden="1">
      <c r="C156" s="13"/>
      <c r="Q156" s="13"/>
    </row>
    <row r="157" hidden="1">
      <c r="C157" s="13"/>
      <c r="Q157" s="13"/>
    </row>
    <row r="158" hidden="1">
      <c r="C158" s="13"/>
      <c r="Q158" s="13"/>
    </row>
    <row r="159" hidden="1">
      <c r="C159" s="13"/>
      <c r="Q159" s="13"/>
    </row>
    <row r="160" hidden="1">
      <c r="C160" s="13"/>
      <c r="Q160" s="13"/>
    </row>
    <row r="161" hidden="1">
      <c r="C161" s="13"/>
      <c r="Q161" s="13"/>
    </row>
    <row r="162" hidden="1">
      <c r="C162" s="13"/>
      <c r="Q162" s="13"/>
    </row>
    <row r="163" hidden="1">
      <c r="C163" s="13"/>
      <c r="Q163" s="13"/>
    </row>
    <row r="164" hidden="1">
      <c r="C164" s="13"/>
      <c r="Q164" s="13"/>
    </row>
    <row r="165" hidden="1">
      <c r="C165" s="13"/>
      <c r="Q165" s="13"/>
    </row>
    <row r="166" hidden="1">
      <c r="C166" s="13"/>
      <c r="Q166" s="13"/>
    </row>
    <row r="167" hidden="1">
      <c r="C167" s="13"/>
      <c r="Q167" s="13"/>
    </row>
    <row r="168" hidden="1">
      <c r="C168" s="13"/>
      <c r="Q168" s="13"/>
    </row>
    <row r="169" hidden="1">
      <c r="C169" s="13"/>
      <c r="Q169" s="13"/>
    </row>
    <row r="170" hidden="1">
      <c r="C170" s="13"/>
      <c r="Q170" s="13"/>
    </row>
    <row r="171" hidden="1">
      <c r="C171" s="13"/>
      <c r="Q171" s="13"/>
    </row>
    <row r="172" hidden="1">
      <c r="C172" s="13"/>
      <c r="Q172" s="13"/>
    </row>
    <row r="173" hidden="1">
      <c r="C173" s="13"/>
      <c r="Q173" s="13"/>
    </row>
    <row r="174" hidden="1">
      <c r="C174" s="13"/>
      <c r="Q174" s="13"/>
    </row>
    <row r="175" hidden="1">
      <c r="C175" s="13"/>
      <c r="Q175" s="13"/>
    </row>
    <row r="176" hidden="1">
      <c r="C176" s="13"/>
      <c r="Q176" s="13"/>
    </row>
    <row r="177" hidden="1">
      <c r="C177" s="13"/>
      <c r="Q177" s="13"/>
    </row>
    <row r="178" hidden="1">
      <c r="C178" s="13"/>
      <c r="Q178" s="13"/>
    </row>
    <row r="179" hidden="1">
      <c r="C179" s="13"/>
      <c r="Q179" s="13"/>
    </row>
    <row r="180" hidden="1">
      <c r="C180" s="13"/>
      <c r="Q180" s="13"/>
    </row>
    <row r="181" hidden="1">
      <c r="C181" s="13"/>
      <c r="Q181" s="13"/>
    </row>
    <row r="182" hidden="1">
      <c r="C182" s="13"/>
      <c r="Q182" s="13"/>
    </row>
    <row r="183" hidden="1">
      <c r="C183" s="13"/>
      <c r="Q183" s="13"/>
    </row>
    <row r="184" hidden="1">
      <c r="C184" s="13"/>
      <c r="Q184" s="13"/>
    </row>
    <row r="185" hidden="1">
      <c r="C185" s="13"/>
      <c r="Q185" s="13"/>
    </row>
    <row r="186" hidden="1">
      <c r="C186" s="13"/>
      <c r="Q186" s="13"/>
    </row>
    <row r="187" hidden="1">
      <c r="C187" s="13"/>
      <c r="Q187" s="13"/>
    </row>
    <row r="188" hidden="1">
      <c r="C188" s="13"/>
      <c r="Q188" s="13"/>
    </row>
    <row r="189" hidden="1">
      <c r="C189" s="13"/>
      <c r="Q189" s="13"/>
    </row>
    <row r="190" hidden="1">
      <c r="C190" s="13"/>
      <c r="Q190" s="13"/>
    </row>
    <row r="191" hidden="1">
      <c r="C191" s="13"/>
      <c r="Q191" s="13"/>
    </row>
    <row r="192" hidden="1">
      <c r="C192" s="13"/>
      <c r="Q192" s="13"/>
    </row>
    <row r="193" hidden="1">
      <c r="C193" s="13"/>
      <c r="Q193" s="13"/>
    </row>
    <row r="194" hidden="1">
      <c r="C194" s="13"/>
      <c r="Q194" s="13"/>
    </row>
    <row r="195" hidden="1">
      <c r="C195" s="13"/>
      <c r="Q195" s="13"/>
    </row>
    <row r="196" hidden="1">
      <c r="C196" s="13"/>
      <c r="Q196" s="13"/>
    </row>
    <row r="197" hidden="1">
      <c r="C197" s="13"/>
      <c r="Q197" s="13"/>
    </row>
    <row r="198" hidden="1">
      <c r="C198" s="13"/>
      <c r="Q198" s="13"/>
    </row>
    <row r="199" hidden="1">
      <c r="C199" s="13"/>
      <c r="Q199" s="13"/>
    </row>
    <row r="200" hidden="1">
      <c r="C200" s="13"/>
      <c r="Q200" s="13"/>
    </row>
    <row r="201" hidden="1">
      <c r="C201" s="13"/>
      <c r="Q201" s="13"/>
    </row>
    <row r="202" hidden="1">
      <c r="C202" s="13"/>
      <c r="Q202" s="13"/>
    </row>
    <row r="203" hidden="1">
      <c r="C203" s="13"/>
      <c r="Q203" s="13"/>
    </row>
    <row r="204" hidden="1">
      <c r="C204" s="13"/>
      <c r="Q204" s="13"/>
    </row>
    <row r="205" hidden="1">
      <c r="C205" s="13"/>
      <c r="Q205" s="13"/>
    </row>
    <row r="206" hidden="1">
      <c r="C206" s="13"/>
      <c r="Q206" s="13"/>
    </row>
    <row r="207" hidden="1">
      <c r="C207" s="13"/>
      <c r="Q207" s="13"/>
    </row>
    <row r="208" hidden="1">
      <c r="C208" s="13"/>
      <c r="Q208" s="13"/>
    </row>
    <row r="209" hidden="1">
      <c r="C209" s="13"/>
      <c r="Q209" s="13"/>
    </row>
    <row r="210" hidden="1">
      <c r="C210" s="13"/>
      <c r="Q210" s="13"/>
    </row>
    <row r="211" hidden="1">
      <c r="C211" s="13"/>
      <c r="Q211" s="13"/>
    </row>
    <row r="212" hidden="1">
      <c r="C212" s="13"/>
      <c r="Q212" s="13"/>
    </row>
    <row r="213" hidden="1">
      <c r="C213" s="13"/>
      <c r="Q213" s="13"/>
    </row>
    <row r="214" hidden="1">
      <c r="C214" s="13"/>
      <c r="Q214" s="13"/>
    </row>
    <row r="215" hidden="1">
      <c r="C215" s="13"/>
      <c r="Q215" s="13"/>
    </row>
    <row r="216" hidden="1">
      <c r="C216" s="13"/>
      <c r="Q216" s="13"/>
    </row>
    <row r="217" hidden="1">
      <c r="C217" s="13"/>
      <c r="Q217" s="13"/>
    </row>
    <row r="218" hidden="1">
      <c r="C218" s="13"/>
      <c r="Q218" s="13"/>
    </row>
    <row r="219" hidden="1">
      <c r="C219" s="13"/>
      <c r="Q219" s="13"/>
    </row>
    <row r="220" hidden="1">
      <c r="C220" s="13"/>
      <c r="Q220" s="13"/>
    </row>
    <row r="221" hidden="1">
      <c r="C221" s="13"/>
      <c r="Q221" s="13"/>
    </row>
    <row r="222" hidden="1">
      <c r="C222" s="13"/>
      <c r="Q222" s="13"/>
    </row>
    <row r="223" hidden="1">
      <c r="C223" s="13"/>
      <c r="Q223" s="13"/>
    </row>
    <row r="224" hidden="1">
      <c r="C224" s="13"/>
      <c r="Q224" s="13"/>
    </row>
    <row r="225" hidden="1">
      <c r="C225" s="13"/>
      <c r="Q225" s="13"/>
    </row>
    <row r="226" hidden="1">
      <c r="C226" s="13"/>
      <c r="Q226" s="13"/>
    </row>
    <row r="227" hidden="1">
      <c r="C227" s="13"/>
      <c r="Q227" s="13"/>
    </row>
    <row r="228" hidden="1">
      <c r="C228" s="13"/>
      <c r="Q228" s="13"/>
    </row>
    <row r="229" hidden="1">
      <c r="C229" s="13"/>
      <c r="Q229" s="13"/>
    </row>
    <row r="230" hidden="1">
      <c r="C230" s="13"/>
      <c r="Q230" s="13"/>
    </row>
    <row r="231" hidden="1">
      <c r="C231" s="13"/>
      <c r="Q231" s="13"/>
    </row>
    <row r="232" hidden="1">
      <c r="C232" s="13"/>
      <c r="Q232" s="13"/>
    </row>
    <row r="233" hidden="1">
      <c r="C233" s="13"/>
      <c r="Q233" s="13"/>
    </row>
    <row r="234" hidden="1">
      <c r="C234" s="13"/>
      <c r="Q234" s="13"/>
    </row>
    <row r="235" hidden="1">
      <c r="C235" s="13"/>
      <c r="Q235" s="13"/>
    </row>
    <row r="236" hidden="1">
      <c r="C236" s="13"/>
      <c r="Q236" s="13"/>
    </row>
    <row r="237" hidden="1">
      <c r="C237" s="13"/>
      <c r="Q237" s="13"/>
    </row>
    <row r="238" hidden="1">
      <c r="C238" s="13"/>
      <c r="Q238" s="13"/>
    </row>
    <row r="239" hidden="1">
      <c r="C239" s="13"/>
      <c r="Q239" s="13"/>
    </row>
    <row r="240" hidden="1">
      <c r="C240" s="13"/>
      <c r="Q240" s="13"/>
    </row>
    <row r="241" hidden="1">
      <c r="C241" s="13"/>
      <c r="Q241" s="13"/>
    </row>
    <row r="242" hidden="1">
      <c r="C242" s="13"/>
      <c r="Q242" s="13"/>
    </row>
    <row r="243" hidden="1">
      <c r="C243" s="13"/>
      <c r="Q243" s="13"/>
    </row>
    <row r="244" hidden="1">
      <c r="C244" s="13"/>
      <c r="Q244" s="13"/>
    </row>
    <row r="245" hidden="1">
      <c r="C245" s="13"/>
      <c r="Q245" s="13"/>
    </row>
    <row r="246" hidden="1">
      <c r="C246" s="13"/>
      <c r="Q246" s="13"/>
    </row>
    <row r="247" hidden="1">
      <c r="C247" s="13"/>
      <c r="Q247" s="13"/>
    </row>
    <row r="248" hidden="1">
      <c r="C248" s="13"/>
      <c r="Q248" s="13"/>
    </row>
    <row r="249" hidden="1">
      <c r="C249" s="13"/>
      <c r="Q249" s="13"/>
    </row>
    <row r="250" hidden="1">
      <c r="C250" s="13"/>
      <c r="Q250" s="13"/>
    </row>
    <row r="251" hidden="1">
      <c r="C251" s="13"/>
      <c r="Q251" s="13"/>
    </row>
    <row r="252" hidden="1">
      <c r="C252" s="13"/>
      <c r="Q252" s="13"/>
    </row>
    <row r="253" hidden="1">
      <c r="C253" s="13"/>
      <c r="Q253" s="13"/>
    </row>
    <row r="254" hidden="1">
      <c r="C254" s="13"/>
      <c r="Q254" s="13"/>
    </row>
    <row r="255" hidden="1">
      <c r="C255" s="13"/>
      <c r="Q255" s="13"/>
    </row>
    <row r="256" hidden="1">
      <c r="C256" s="13"/>
      <c r="Q256" s="13"/>
    </row>
    <row r="257" hidden="1">
      <c r="C257" s="13"/>
      <c r="Q257" s="13"/>
    </row>
    <row r="258" hidden="1">
      <c r="C258" s="13"/>
      <c r="Q258" s="13"/>
    </row>
    <row r="259" hidden="1">
      <c r="C259" s="13"/>
      <c r="Q259" s="13"/>
    </row>
    <row r="260" hidden="1">
      <c r="C260" s="13"/>
      <c r="Q260" s="13"/>
    </row>
    <row r="261" hidden="1">
      <c r="C261" s="13"/>
      <c r="Q261" s="13"/>
    </row>
    <row r="262" hidden="1">
      <c r="C262" s="13"/>
      <c r="Q262" s="13"/>
    </row>
    <row r="263" hidden="1">
      <c r="C263" s="13"/>
      <c r="Q263" s="13"/>
    </row>
    <row r="264" hidden="1">
      <c r="C264" s="13"/>
      <c r="Q264" s="13"/>
    </row>
    <row r="265" hidden="1">
      <c r="C265" s="13"/>
      <c r="Q265" s="13"/>
    </row>
    <row r="266" hidden="1">
      <c r="C266" s="13"/>
      <c r="Q266" s="13"/>
    </row>
    <row r="267" hidden="1">
      <c r="C267" s="13"/>
      <c r="Q267" s="13"/>
    </row>
    <row r="268" hidden="1">
      <c r="C268" s="13"/>
      <c r="Q268" s="13"/>
    </row>
    <row r="269" hidden="1">
      <c r="C269" s="13"/>
      <c r="Q269" s="13"/>
    </row>
    <row r="270" hidden="1">
      <c r="C270" s="13"/>
      <c r="Q270" s="13"/>
    </row>
    <row r="271" hidden="1">
      <c r="C271" s="13"/>
      <c r="Q271" s="13"/>
    </row>
    <row r="272" hidden="1">
      <c r="C272" s="13"/>
      <c r="Q272" s="13"/>
    </row>
    <row r="273" hidden="1">
      <c r="C273" s="13"/>
      <c r="Q273" s="13"/>
    </row>
    <row r="274" hidden="1">
      <c r="C274" s="13"/>
      <c r="Q274" s="13"/>
    </row>
    <row r="275" hidden="1">
      <c r="C275" s="13"/>
      <c r="Q275" s="13"/>
    </row>
    <row r="276" hidden="1">
      <c r="C276" s="13"/>
      <c r="Q276" s="13"/>
    </row>
    <row r="277" hidden="1">
      <c r="C277" s="13"/>
      <c r="Q277" s="13"/>
    </row>
    <row r="278" hidden="1">
      <c r="C278" s="13"/>
      <c r="Q278" s="13"/>
    </row>
    <row r="279" hidden="1">
      <c r="C279" s="13"/>
      <c r="Q279" s="13"/>
    </row>
    <row r="280" hidden="1">
      <c r="C280" s="13"/>
      <c r="Q280" s="13"/>
    </row>
    <row r="281" hidden="1">
      <c r="C281" s="13"/>
      <c r="Q281" s="13"/>
    </row>
    <row r="282" hidden="1">
      <c r="C282" s="13"/>
      <c r="Q282" s="13"/>
    </row>
    <row r="283" hidden="1">
      <c r="C283" s="13"/>
      <c r="Q283" s="13"/>
    </row>
    <row r="284" hidden="1">
      <c r="C284" s="13"/>
      <c r="Q284" s="13"/>
    </row>
    <row r="285" hidden="1">
      <c r="C285" s="13"/>
      <c r="Q285" s="13"/>
    </row>
    <row r="286" hidden="1">
      <c r="C286" s="13"/>
      <c r="Q286" s="13"/>
    </row>
    <row r="287" hidden="1">
      <c r="C287" s="13"/>
      <c r="Q287" s="13"/>
    </row>
    <row r="288" hidden="1">
      <c r="C288" s="13"/>
      <c r="Q288" s="13"/>
    </row>
    <row r="289" hidden="1">
      <c r="C289" s="13"/>
      <c r="Q289" s="13"/>
    </row>
    <row r="290" hidden="1">
      <c r="C290" s="13"/>
      <c r="Q290" s="13"/>
    </row>
    <row r="291" hidden="1">
      <c r="C291" s="13"/>
      <c r="Q291" s="13"/>
    </row>
    <row r="292" hidden="1">
      <c r="C292" s="13"/>
      <c r="Q292" s="13"/>
    </row>
    <row r="293" hidden="1">
      <c r="C293" s="13"/>
      <c r="Q293" s="13"/>
    </row>
    <row r="294" hidden="1">
      <c r="C294" s="13"/>
      <c r="Q294" s="13"/>
    </row>
    <row r="295" hidden="1">
      <c r="C295" s="13"/>
      <c r="Q295" s="13"/>
    </row>
    <row r="296" hidden="1">
      <c r="C296" s="13"/>
      <c r="Q296" s="13"/>
    </row>
    <row r="297" hidden="1">
      <c r="C297" s="13"/>
      <c r="Q297" s="13"/>
    </row>
    <row r="298" hidden="1">
      <c r="C298" s="13"/>
      <c r="Q298" s="13"/>
    </row>
    <row r="299" hidden="1">
      <c r="C299" s="13"/>
      <c r="Q299" s="13"/>
    </row>
    <row r="300" hidden="1">
      <c r="C300" s="13"/>
      <c r="Q300" s="13"/>
    </row>
    <row r="301" hidden="1">
      <c r="C301" s="13"/>
      <c r="Q301" s="13"/>
    </row>
    <row r="302" hidden="1">
      <c r="C302" s="13"/>
      <c r="Q302" s="13"/>
    </row>
    <row r="303" hidden="1">
      <c r="C303" s="13"/>
      <c r="Q303" s="13"/>
    </row>
    <row r="304" hidden="1">
      <c r="C304" s="13"/>
      <c r="Q304" s="13"/>
    </row>
    <row r="305" hidden="1">
      <c r="C305" s="13"/>
      <c r="Q305" s="13"/>
    </row>
    <row r="306" hidden="1">
      <c r="C306" s="13"/>
      <c r="Q306" s="13"/>
    </row>
    <row r="307" hidden="1">
      <c r="C307" s="13"/>
      <c r="Q307" s="13"/>
    </row>
    <row r="308" hidden="1">
      <c r="C308" s="13"/>
      <c r="Q308" s="13"/>
    </row>
    <row r="309" hidden="1">
      <c r="C309" s="13"/>
      <c r="Q309" s="13"/>
    </row>
    <row r="310" hidden="1">
      <c r="C310" s="13"/>
      <c r="Q310" s="13"/>
    </row>
    <row r="311" hidden="1">
      <c r="C311" s="13"/>
      <c r="Q311" s="13"/>
    </row>
    <row r="312" hidden="1">
      <c r="C312" s="13"/>
      <c r="Q312" s="13"/>
    </row>
    <row r="313" hidden="1">
      <c r="C313" s="13"/>
      <c r="Q313" s="13"/>
    </row>
    <row r="314" hidden="1">
      <c r="C314" s="13"/>
      <c r="Q314" s="13"/>
    </row>
    <row r="315" hidden="1">
      <c r="C315" s="13"/>
      <c r="Q315" s="13"/>
    </row>
    <row r="316" hidden="1">
      <c r="C316" s="13"/>
      <c r="Q316" s="13"/>
    </row>
    <row r="317" hidden="1">
      <c r="C317" s="13"/>
      <c r="Q317" s="13"/>
    </row>
    <row r="318" hidden="1">
      <c r="C318" s="13"/>
      <c r="Q318" s="13"/>
    </row>
    <row r="319" hidden="1">
      <c r="C319" s="13"/>
      <c r="Q319" s="13"/>
    </row>
    <row r="320" hidden="1">
      <c r="C320" s="13"/>
      <c r="Q320" s="13"/>
    </row>
    <row r="321" hidden="1">
      <c r="C321" s="13"/>
      <c r="Q321" s="13"/>
    </row>
    <row r="322" hidden="1">
      <c r="C322" s="13"/>
      <c r="Q322" s="13"/>
    </row>
    <row r="323" hidden="1">
      <c r="C323" s="13"/>
      <c r="Q323" s="13"/>
    </row>
    <row r="324" hidden="1">
      <c r="C324" s="13"/>
      <c r="Q324" s="13"/>
    </row>
    <row r="325" hidden="1">
      <c r="C325" s="13"/>
      <c r="Q325" s="13"/>
    </row>
    <row r="326" hidden="1">
      <c r="C326" s="13"/>
      <c r="Q326" s="13"/>
    </row>
    <row r="327" hidden="1">
      <c r="C327" s="13"/>
      <c r="Q327" s="13"/>
    </row>
    <row r="328" hidden="1">
      <c r="C328" s="13"/>
      <c r="Q328" s="13"/>
    </row>
    <row r="329" hidden="1">
      <c r="C329" s="13"/>
      <c r="Q329" s="13"/>
    </row>
    <row r="330" hidden="1">
      <c r="C330" s="13"/>
      <c r="Q330" s="13"/>
    </row>
    <row r="331" hidden="1">
      <c r="C331" s="13"/>
      <c r="Q331" s="13"/>
    </row>
    <row r="332" hidden="1">
      <c r="C332" s="13"/>
      <c r="Q332" s="13"/>
    </row>
    <row r="333" hidden="1">
      <c r="C333" s="13"/>
      <c r="Q333" s="13"/>
    </row>
    <row r="334" hidden="1">
      <c r="C334" s="13"/>
      <c r="Q334" s="13"/>
    </row>
    <row r="335" hidden="1">
      <c r="C335" s="13"/>
      <c r="Q335" s="13"/>
    </row>
    <row r="336" hidden="1">
      <c r="C336" s="13"/>
      <c r="Q336" s="13"/>
    </row>
    <row r="337" hidden="1">
      <c r="C337" s="13"/>
      <c r="Q337" s="13"/>
    </row>
    <row r="338" hidden="1">
      <c r="C338" s="13"/>
      <c r="Q338" s="13"/>
    </row>
    <row r="339" hidden="1">
      <c r="C339" s="13"/>
      <c r="Q339" s="13"/>
    </row>
    <row r="340" hidden="1">
      <c r="C340" s="13"/>
      <c r="Q340" s="13"/>
    </row>
    <row r="341" hidden="1">
      <c r="C341" s="13"/>
      <c r="Q341" s="13"/>
    </row>
    <row r="342" hidden="1">
      <c r="C342" s="13"/>
      <c r="Q342" s="13"/>
    </row>
    <row r="343" hidden="1">
      <c r="C343" s="13"/>
      <c r="Q343" s="13"/>
    </row>
    <row r="344" hidden="1">
      <c r="C344" s="13"/>
      <c r="Q344" s="13"/>
    </row>
    <row r="345" hidden="1">
      <c r="C345" s="13"/>
      <c r="Q345" s="13"/>
    </row>
    <row r="346" hidden="1">
      <c r="C346" s="13"/>
      <c r="Q346" s="13"/>
    </row>
    <row r="347" hidden="1">
      <c r="C347" s="13"/>
      <c r="Q347" s="13"/>
    </row>
    <row r="348" hidden="1">
      <c r="C348" s="13"/>
      <c r="Q348" s="13"/>
    </row>
    <row r="349" hidden="1">
      <c r="C349" s="13"/>
      <c r="Q349" s="13"/>
    </row>
    <row r="350" hidden="1">
      <c r="C350" s="13"/>
      <c r="Q350" s="13"/>
    </row>
    <row r="351" hidden="1">
      <c r="C351" s="13"/>
      <c r="Q351" s="13"/>
    </row>
    <row r="352" hidden="1">
      <c r="C352" s="13"/>
      <c r="Q352" s="13"/>
    </row>
    <row r="353" hidden="1">
      <c r="C353" s="13"/>
      <c r="Q353" s="13"/>
    </row>
    <row r="354" hidden="1">
      <c r="C354" s="13"/>
      <c r="Q354" s="13"/>
    </row>
    <row r="355" hidden="1">
      <c r="C355" s="13"/>
      <c r="Q355" s="13"/>
    </row>
    <row r="356" hidden="1">
      <c r="C356" s="13"/>
      <c r="Q356" s="13"/>
    </row>
    <row r="357" hidden="1">
      <c r="C357" s="13"/>
      <c r="Q357" s="13"/>
    </row>
    <row r="358" hidden="1">
      <c r="C358" s="13"/>
      <c r="Q358" s="13"/>
    </row>
    <row r="359" hidden="1">
      <c r="C359" s="13"/>
      <c r="Q359" s="13"/>
    </row>
    <row r="360" hidden="1">
      <c r="C360" s="13"/>
      <c r="Q360" s="13"/>
    </row>
    <row r="361" hidden="1">
      <c r="C361" s="13"/>
      <c r="Q361" s="13"/>
    </row>
    <row r="362" hidden="1">
      <c r="C362" s="13"/>
      <c r="Q362" s="13"/>
    </row>
    <row r="363" hidden="1">
      <c r="C363" s="13"/>
      <c r="Q363" s="13"/>
    </row>
    <row r="364" hidden="1">
      <c r="C364" s="13"/>
      <c r="Q364" s="13"/>
    </row>
    <row r="365" hidden="1">
      <c r="C365" s="13"/>
      <c r="Q365" s="13"/>
    </row>
    <row r="366" hidden="1">
      <c r="C366" s="13"/>
      <c r="Q366" s="13"/>
    </row>
    <row r="367" hidden="1">
      <c r="C367" s="13"/>
      <c r="Q367" s="13"/>
    </row>
    <row r="368" hidden="1">
      <c r="C368" s="13"/>
      <c r="Q368" s="13"/>
    </row>
    <row r="369" hidden="1">
      <c r="C369" s="13"/>
      <c r="Q369" s="13"/>
    </row>
    <row r="370" hidden="1">
      <c r="C370" s="13"/>
      <c r="Q370" s="13"/>
    </row>
    <row r="371" hidden="1">
      <c r="C371" s="13"/>
      <c r="Q371" s="13"/>
    </row>
    <row r="372" hidden="1">
      <c r="C372" s="13"/>
      <c r="Q372" s="13"/>
    </row>
    <row r="373" hidden="1">
      <c r="C373" s="13"/>
      <c r="Q373" s="13"/>
    </row>
    <row r="374" hidden="1">
      <c r="C374" s="13"/>
      <c r="Q374" s="13"/>
    </row>
    <row r="375" hidden="1">
      <c r="C375" s="13"/>
      <c r="Q375" s="13"/>
    </row>
    <row r="376" hidden="1">
      <c r="C376" s="13"/>
      <c r="Q376" s="13"/>
    </row>
    <row r="377" hidden="1">
      <c r="C377" s="13"/>
      <c r="Q377" s="13"/>
    </row>
    <row r="378" hidden="1">
      <c r="C378" s="13"/>
      <c r="Q378" s="13"/>
    </row>
    <row r="379" hidden="1">
      <c r="C379" s="13"/>
      <c r="Q379" s="13"/>
    </row>
    <row r="380" hidden="1">
      <c r="C380" s="13"/>
      <c r="Q380" s="13"/>
    </row>
    <row r="381" hidden="1">
      <c r="C381" s="13"/>
      <c r="Q381" s="13"/>
    </row>
    <row r="382" hidden="1">
      <c r="C382" s="13"/>
      <c r="Q382" s="13"/>
    </row>
    <row r="383" hidden="1">
      <c r="C383" s="13"/>
      <c r="Q383" s="13"/>
    </row>
    <row r="384" hidden="1">
      <c r="C384" s="13"/>
      <c r="Q384" s="13"/>
    </row>
    <row r="385" hidden="1">
      <c r="C385" s="13"/>
      <c r="Q385" s="13"/>
    </row>
    <row r="386" hidden="1">
      <c r="C386" s="13"/>
      <c r="Q386" s="13"/>
    </row>
    <row r="387" hidden="1">
      <c r="C387" s="13"/>
      <c r="Q387" s="13"/>
    </row>
    <row r="388" hidden="1">
      <c r="C388" s="13"/>
      <c r="Q388" s="13"/>
    </row>
    <row r="389" hidden="1">
      <c r="C389" s="13"/>
      <c r="Q389" s="13"/>
    </row>
    <row r="390" hidden="1">
      <c r="C390" s="13"/>
      <c r="Q390" s="13"/>
    </row>
    <row r="391" hidden="1">
      <c r="C391" s="13"/>
      <c r="Q391" s="13"/>
    </row>
    <row r="392" hidden="1">
      <c r="C392" s="13"/>
      <c r="Q392" s="13"/>
    </row>
    <row r="393" hidden="1">
      <c r="C393" s="13"/>
      <c r="Q393" s="13"/>
    </row>
    <row r="394" hidden="1">
      <c r="C394" s="13"/>
      <c r="Q394" s="13"/>
    </row>
    <row r="395" hidden="1">
      <c r="C395" s="13"/>
      <c r="Q395" s="13"/>
    </row>
    <row r="396" hidden="1">
      <c r="C396" s="13"/>
      <c r="Q396" s="13"/>
    </row>
    <row r="397" hidden="1">
      <c r="C397" s="13"/>
      <c r="Q397" s="13"/>
    </row>
    <row r="398" hidden="1">
      <c r="C398" s="13"/>
      <c r="Q398" s="13"/>
    </row>
    <row r="399" hidden="1">
      <c r="C399" s="13"/>
      <c r="Q399" s="13"/>
    </row>
    <row r="400" hidden="1">
      <c r="C400" s="13"/>
      <c r="Q400" s="13"/>
    </row>
    <row r="401" hidden="1">
      <c r="C401" s="13"/>
      <c r="Q401" s="13"/>
    </row>
    <row r="402" hidden="1">
      <c r="C402" s="13"/>
      <c r="Q402" s="13"/>
    </row>
    <row r="403" hidden="1">
      <c r="C403" s="13"/>
      <c r="Q403" s="13"/>
    </row>
    <row r="404" hidden="1">
      <c r="C404" s="13"/>
      <c r="Q404" s="13"/>
    </row>
    <row r="405" hidden="1">
      <c r="C405" s="13"/>
      <c r="Q405" s="13"/>
    </row>
    <row r="406" hidden="1">
      <c r="C406" s="13"/>
      <c r="Q406" s="13"/>
    </row>
    <row r="407" hidden="1">
      <c r="C407" s="13"/>
      <c r="Q407" s="13"/>
    </row>
    <row r="408" hidden="1">
      <c r="C408" s="13"/>
      <c r="Q408" s="13"/>
    </row>
    <row r="409" hidden="1">
      <c r="C409" s="13"/>
      <c r="Q409" s="13"/>
    </row>
    <row r="410" hidden="1">
      <c r="C410" s="13"/>
      <c r="Q410" s="13"/>
    </row>
    <row r="411" hidden="1">
      <c r="C411" s="13"/>
      <c r="Q411" s="13"/>
    </row>
    <row r="412" hidden="1">
      <c r="C412" s="13"/>
      <c r="Q412" s="13"/>
    </row>
    <row r="413" hidden="1">
      <c r="C413" s="13"/>
      <c r="Q413" s="13"/>
    </row>
    <row r="414" hidden="1">
      <c r="C414" s="13"/>
      <c r="Q414" s="13"/>
    </row>
    <row r="415" hidden="1">
      <c r="C415" s="13"/>
      <c r="Q415" s="13"/>
    </row>
    <row r="416" hidden="1">
      <c r="C416" s="13"/>
      <c r="Q416" s="13"/>
    </row>
    <row r="417" hidden="1">
      <c r="C417" s="13"/>
      <c r="Q417" s="13"/>
    </row>
    <row r="418" hidden="1">
      <c r="C418" s="13"/>
      <c r="Q418" s="13"/>
    </row>
    <row r="419" hidden="1">
      <c r="C419" s="13"/>
      <c r="Q419" s="13"/>
    </row>
    <row r="420" hidden="1">
      <c r="C420" s="13"/>
      <c r="Q420" s="13"/>
    </row>
    <row r="421" hidden="1">
      <c r="C421" s="13"/>
      <c r="Q421" s="13"/>
    </row>
    <row r="422" hidden="1">
      <c r="C422" s="13"/>
      <c r="Q422" s="13"/>
    </row>
    <row r="423" hidden="1">
      <c r="C423" s="13"/>
      <c r="Q423" s="13"/>
    </row>
    <row r="424" hidden="1">
      <c r="C424" s="13"/>
      <c r="Q424" s="13"/>
    </row>
    <row r="425" hidden="1">
      <c r="C425" s="13"/>
      <c r="Q425" s="13"/>
    </row>
    <row r="426" hidden="1">
      <c r="C426" s="13"/>
      <c r="Q426" s="13"/>
    </row>
    <row r="427" hidden="1">
      <c r="C427" s="13"/>
      <c r="Q427" s="13"/>
    </row>
    <row r="428" hidden="1">
      <c r="C428" s="13"/>
      <c r="Q428" s="13"/>
    </row>
    <row r="429" hidden="1">
      <c r="C429" s="13"/>
      <c r="Q429" s="13"/>
    </row>
    <row r="430" hidden="1">
      <c r="C430" s="13"/>
      <c r="Q430" s="13"/>
    </row>
    <row r="431" hidden="1">
      <c r="C431" s="13"/>
      <c r="Q431" s="13"/>
    </row>
    <row r="432" hidden="1">
      <c r="C432" s="13"/>
      <c r="Q432" s="13"/>
    </row>
    <row r="433" hidden="1">
      <c r="C433" s="13"/>
      <c r="Q433" s="13"/>
    </row>
    <row r="434" hidden="1">
      <c r="C434" s="13"/>
      <c r="Q434" s="13"/>
    </row>
    <row r="435" hidden="1">
      <c r="C435" s="13"/>
      <c r="Q435" s="13"/>
    </row>
    <row r="436" hidden="1">
      <c r="C436" s="13"/>
      <c r="Q436" s="13"/>
    </row>
    <row r="437" hidden="1">
      <c r="C437" s="13"/>
      <c r="Q437" s="13"/>
    </row>
    <row r="438" hidden="1">
      <c r="C438" s="13"/>
      <c r="Q438" s="13"/>
    </row>
    <row r="439" hidden="1">
      <c r="C439" s="13"/>
      <c r="Q439" s="13"/>
    </row>
    <row r="440" hidden="1">
      <c r="C440" s="13"/>
      <c r="Q440" s="13"/>
    </row>
    <row r="441" hidden="1">
      <c r="C441" s="13"/>
      <c r="Q441" s="13"/>
    </row>
    <row r="442" hidden="1">
      <c r="C442" s="13"/>
      <c r="Q442" s="13"/>
    </row>
    <row r="443" hidden="1">
      <c r="C443" s="13"/>
      <c r="Q443" s="13"/>
    </row>
    <row r="444" hidden="1">
      <c r="C444" s="13"/>
      <c r="Q444" s="13"/>
    </row>
    <row r="445" hidden="1">
      <c r="C445" s="13"/>
      <c r="Q445" s="13"/>
    </row>
    <row r="446" hidden="1">
      <c r="C446" s="13"/>
      <c r="Q446" s="13"/>
    </row>
    <row r="447" hidden="1">
      <c r="C447" s="13"/>
      <c r="Q447" s="13"/>
    </row>
    <row r="448" hidden="1">
      <c r="C448" s="13"/>
      <c r="Q448" s="13"/>
    </row>
    <row r="449" hidden="1">
      <c r="C449" s="13"/>
      <c r="Q449" s="13"/>
    </row>
    <row r="450" hidden="1">
      <c r="C450" s="13"/>
      <c r="Q450" s="13"/>
    </row>
    <row r="451" hidden="1">
      <c r="C451" s="13"/>
      <c r="Q451" s="13"/>
    </row>
    <row r="452" hidden="1">
      <c r="C452" s="13"/>
      <c r="Q452" s="13"/>
    </row>
    <row r="453" hidden="1">
      <c r="C453" s="13"/>
      <c r="Q453" s="13"/>
    </row>
    <row r="454" hidden="1">
      <c r="C454" s="13"/>
      <c r="Q454" s="13"/>
    </row>
    <row r="455" hidden="1">
      <c r="C455" s="13"/>
      <c r="Q455" s="13"/>
    </row>
    <row r="456" hidden="1">
      <c r="C456" s="13"/>
      <c r="Q456" s="13"/>
    </row>
    <row r="457" hidden="1">
      <c r="C457" s="13"/>
      <c r="Q457" s="13"/>
    </row>
    <row r="458" hidden="1">
      <c r="C458" s="13"/>
      <c r="Q458" s="13"/>
    </row>
    <row r="459" hidden="1">
      <c r="C459" s="13"/>
      <c r="Q459" s="13"/>
    </row>
    <row r="460" hidden="1">
      <c r="C460" s="13"/>
      <c r="Q460" s="13"/>
    </row>
    <row r="461" hidden="1">
      <c r="C461" s="13"/>
      <c r="Q461" s="13"/>
    </row>
    <row r="462" hidden="1">
      <c r="C462" s="13"/>
      <c r="Q462" s="13"/>
    </row>
    <row r="463" hidden="1">
      <c r="C463" s="13"/>
      <c r="Q463" s="13"/>
    </row>
    <row r="464" hidden="1">
      <c r="C464" s="13"/>
      <c r="Q464" s="13"/>
    </row>
    <row r="465" hidden="1">
      <c r="C465" s="13"/>
      <c r="Q465" s="13"/>
    </row>
    <row r="466" hidden="1">
      <c r="C466" s="13"/>
      <c r="Q466" s="13"/>
    </row>
    <row r="467" hidden="1">
      <c r="C467" s="13"/>
      <c r="Q467" s="13"/>
    </row>
    <row r="468" hidden="1">
      <c r="C468" s="13"/>
      <c r="Q468" s="13"/>
    </row>
    <row r="469" hidden="1">
      <c r="C469" s="13"/>
      <c r="Q469" s="13"/>
    </row>
    <row r="470" hidden="1">
      <c r="C470" s="13"/>
      <c r="Q470" s="13"/>
    </row>
    <row r="471" hidden="1">
      <c r="C471" s="13"/>
      <c r="Q471" s="13"/>
    </row>
    <row r="472" hidden="1">
      <c r="C472" s="13"/>
      <c r="Q472" s="13"/>
    </row>
    <row r="473" hidden="1">
      <c r="C473" s="13"/>
      <c r="Q473" s="13"/>
    </row>
    <row r="474" hidden="1">
      <c r="C474" s="13"/>
      <c r="Q474" s="13"/>
    </row>
    <row r="475" hidden="1">
      <c r="C475" s="13"/>
      <c r="Q475" s="13"/>
    </row>
    <row r="476" hidden="1">
      <c r="C476" s="13"/>
      <c r="Q476" s="13"/>
    </row>
    <row r="477" hidden="1">
      <c r="C477" s="13"/>
      <c r="Q477" s="13"/>
    </row>
    <row r="478" hidden="1">
      <c r="C478" s="13"/>
      <c r="Q478" s="13"/>
    </row>
    <row r="479" hidden="1">
      <c r="C479" s="13"/>
      <c r="Q479" s="13"/>
    </row>
    <row r="480" hidden="1">
      <c r="C480" s="13"/>
      <c r="Q480" s="13"/>
    </row>
    <row r="481" hidden="1">
      <c r="C481" s="13"/>
      <c r="Q481" s="13"/>
    </row>
    <row r="482" hidden="1">
      <c r="C482" s="13"/>
      <c r="Q482" s="13"/>
    </row>
    <row r="483" hidden="1">
      <c r="C483" s="13"/>
      <c r="Q483" s="13"/>
    </row>
    <row r="484" hidden="1">
      <c r="C484" s="13"/>
      <c r="Q484" s="13"/>
    </row>
    <row r="485" hidden="1">
      <c r="C485" s="13"/>
      <c r="Q485" s="13"/>
    </row>
    <row r="486" hidden="1">
      <c r="C486" s="13"/>
      <c r="Q486" s="13"/>
    </row>
    <row r="487" hidden="1">
      <c r="C487" s="13"/>
      <c r="Q487" s="13"/>
    </row>
    <row r="488" hidden="1">
      <c r="C488" s="13"/>
      <c r="Q488" s="13"/>
    </row>
    <row r="489" hidden="1">
      <c r="C489" s="13"/>
      <c r="Q489" s="13"/>
    </row>
    <row r="490" hidden="1">
      <c r="C490" s="13"/>
      <c r="Q490" s="13"/>
    </row>
    <row r="491" hidden="1">
      <c r="C491" s="13"/>
      <c r="Q491" s="13"/>
    </row>
    <row r="492" hidden="1">
      <c r="C492" s="13"/>
      <c r="Q492" s="13"/>
    </row>
    <row r="493" hidden="1">
      <c r="C493" s="13"/>
      <c r="Q493" s="13"/>
    </row>
    <row r="494" hidden="1">
      <c r="C494" s="13"/>
      <c r="Q494" s="13"/>
    </row>
    <row r="495" hidden="1">
      <c r="C495" s="13"/>
      <c r="Q495" s="13"/>
    </row>
    <row r="496" hidden="1">
      <c r="C496" s="13"/>
      <c r="Q496" s="13"/>
    </row>
    <row r="497" hidden="1">
      <c r="C497" s="13"/>
      <c r="Q497" s="13"/>
    </row>
    <row r="498" hidden="1">
      <c r="C498" s="13"/>
      <c r="Q498" s="13"/>
    </row>
    <row r="499" hidden="1">
      <c r="C499" s="13"/>
      <c r="Q499" s="13"/>
    </row>
    <row r="500" hidden="1">
      <c r="C500" s="13"/>
      <c r="Q500" s="13"/>
    </row>
    <row r="501" hidden="1">
      <c r="C501" s="13"/>
      <c r="Q501" s="13"/>
    </row>
    <row r="502" hidden="1">
      <c r="C502" s="13"/>
      <c r="Q502" s="13"/>
    </row>
    <row r="503" hidden="1">
      <c r="C503" s="13"/>
      <c r="Q503" s="13"/>
    </row>
    <row r="504" hidden="1">
      <c r="C504" s="13"/>
      <c r="Q504" s="13"/>
    </row>
    <row r="505" hidden="1">
      <c r="C505" s="13"/>
      <c r="Q505" s="13"/>
    </row>
    <row r="506" hidden="1">
      <c r="C506" s="13"/>
      <c r="Q506" s="13"/>
    </row>
    <row r="507" hidden="1">
      <c r="C507" s="13"/>
      <c r="Q507" s="13"/>
    </row>
    <row r="508" hidden="1">
      <c r="C508" s="13"/>
      <c r="Q508" s="13"/>
    </row>
    <row r="509" hidden="1">
      <c r="C509" s="13"/>
      <c r="Q509" s="13"/>
    </row>
    <row r="510" hidden="1">
      <c r="C510" s="13"/>
      <c r="Q510" s="13"/>
    </row>
    <row r="511" hidden="1">
      <c r="C511" s="13"/>
      <c r="Q511" s="13"/>
    </row>
    <row r="512" hidden="1">
      <c r="C512" s="13"/>
      <c r="Q512" s="13"/>
    </row>
    <row r="513" hidden="1">
      <c r="C513" s="13"/>
      <c r="Q513" s="13"/>
    </row>
    <row r="514" hidden="1">
      <c r="C514" s="13"/>
      <c r="Q514" s="13"/>
    </row>
    <row r="515" hidden="1">
      <c r="C515" s="13"/>
      <c r="Q515" s="13"/>
    </row>
    <row r="516" hidden="1">
      <c r="C516" s="13"/>
      <c r="Q516" s="13"/>
    </row>
    <row r="517" hidden="1">
      <c r="C517" s="13"/>
      <c r="Q517" s="13"/>
    </row>
    <row r="518" hidden="1">
      <c r="C518" s="13"/>
      <c r="Q518" s="13"/>
    </row>
    <row r="519" hidden="1">
      <c r="C519" s="13"/>
      <c r="Q519" s="13"/>
    </row>
    <row r="520" hidden="1">
      <c r="C520" s="13"/>
      <c r="Q520" s="13"/>
    </row>
    <row r="521" hidden="1">
      <c r="C521" s="13"/>
      <c r="Q521" s="13"/>
    </row>
    <row r="522" hidden="1">
      <c r="C522" s="13"/>
      <c r="Q522" s="13"/>
    </row>
    <row r="523" hidden="1">
      <c r="C523" s="13"/>
      <c r="Q523" s="13"/>
    </row>
    <row r="524" hidden="1">
      <c r="C524" s="13"/>
      <c r="Q524" s="13"/>
    </row>
    <row r="525" hidden="1">
      <c r="C525" s="13"/>
      <c r="Q525" s="13"/>
    </row>
    <row r="526" hidden="1">
      <c r="C526" s="13"/>
      <c r="Q526" s="13"/>
    </row>
    <row r="527" hidden="1">
      <c r="C527" s="13"/>
      <c r="Q527" s="13"/>
    </row>
    <row r="528" hidden="1">
      <c r="C528" s="13"/>
      <c r="Q528" s="13"/>
    </row>
    <row r="529" hidden="1">
      <c r="C529" s="13"/>
      <c r="Q529" s="13"/>
    </row>
    <row r="530" hidden="1">
      <c r="C530" s="13"/>
      <c r="Q530" s="13"/>
    </row>
    <row r="531" hidden="1">
      <c r="C531" s="13"/>
      <c r="Q531" s="13"/>
    </row>
    <row r="532" hidden="1">
      <c r="C532" s="13"/>
      <c r="Q532" s="13"/>
    </row>
    <row r="533" hidden="1">
      <c r="C533" s="13"/>
      <c r="Q533" s="13"/>
    </row>
    <row r="534" hidden="1">
      <c r="C534" s="13"/>
      <c r="Q534" s="13"/>
    </row>
    <row r="535" hidden="1">
      <c r="C535" s="13"/>
      <c r="Q535" s="13"/>
    </row>
    <row r="536" hidden="1">
      <c r="C536" s="13"/>
      <c r="Q536" s="13"/>
    </row>
    <row r="537" hidden="1">
      <c r="C537" s="13"/>
      <c r="Q537" s="13"/>
    </row>
    <row r="538" hidden="1">
      <c r="C538" s="13"/>
      <c r="Q538" s="13"/>
    </row>
    <row r="539" hidden="1">
      <c r="C539" s="13"/>
      <c r="Q539" s="13"/>
    </row>
    <row r="540" hidden="1">
      <c r="C540" s="13"/>
      <c r="Q540" s="13"/>
    </row>
    <row r="541" hidden="1">
      <c r="C541" s="13"/>
      <c r="Q541" s="13"/>
    </row>
    <row r="542" hidden="1">
      <c r="C542" s="13"/>
      <c r="Q542" s="13"/>
    </row>
    <row r="543" hidden="1">
      <c r="C543" s="13"/>
      <c r="Q543" s="13"/>
    </row>
    <row r="544" hidden="1">
      <c r="C544" s="13"/>
      <c r="Q544" s="13"/>
    </row>
    <row r="545" hidden="1">
      <c r="C545" s="13"/>
      <c r="Q545" s="13"/>
    </row>
    <row r="546" hidden="1">
      <c r="C546" s="13"/>
      <c r="Q546" s="13"/>
    </row>
    <row r="547" hidden="1">
      <c r="C547" s="13"/>
      <c r="Q547" s="13"/>
    </row>
    <row r="548" hidden="1">
      <c r="C548" s="13"/>
      <c r="Q548" s="13"/>
    </row>
    <row r="549" hidden="1">
      <c r="C549" s="13"/>
      <c r="Q549" s="13"/>
    </row>
    <row r="550" hidden="1">
      <c r="C550" s="13"/>
      <c r="Q550" s="13"/>
    </row>
    <row r="551" hidden="1">
      <c r="C551" s="13"/>
      <c r="Q551" s="13"/>
    </row>
    <row r="552" hidden="1">
      <c r="C552" s="13"/>
      <c r="Q552" s="13"/>
    </row>
    <row r="553" hidden="1">
      <c r="C553" s="13"/>
      <c r="Q553" s="13"/>
    </row>
    <row r="554" hidden="1">
      <c r="C554" s="13"/>
      <c r="Q554" s="13"/>
    </row>
    <row r="555" hidden="1">
      <c r="C555" s="13"/>
      <c r="Q555" s="13"/>
    </row>
    <row r="556" hidden="1">
      <c r="C556" s="13"/>
      <c r="Q556" s="13"/>
    </row>
    <row r="557" hidden="1">
      <c r="C557" s="13"/>
      <c r="Q557" s="13"/>
    </row>
    <row r="558" hidden="1">
      <c r="C558" s="13"/>
      <c r="Q558" s="13"/>
    </row>
    <row r="559" hidden="1">
      <c r="C559" s="13"/>
      <c r="Q559" s="13"/>
    </row>
    <row r="560" hidden="1">
      <c r="C560" s="13"/>
      <c r="Q560" s="13"/>
    </row>
    <row r="561" hidden="1">
      <c r="C561" s="13"/>
      <c r="Q561" s="13"/>
    </row>
    <row r="562" hidden="1">
      <c r="C562" s="13"/>
      <c r="Q562" s="13"/>
    </row>
    <row r="563" hidden="1">
      <c r="C563" s="13"/>
      <c r="Q563" s="13"/>
    </row>
    <row r="564" hidden="1">
      <c r="C564" s="13"/>
      <c r="Q564" s="13"/>
    </row>
    <row r="565" hidden="1">
      <c r="C565" s="13"/>
      <c r="Q565" s="13"/>
    </row>
    <row r="566" hidden="1">
      <c r="C566" s="13"/>
      <c r="Q566" s="13"/>
    </row>
    <row r="567" hidden="1">
      <c r="C567" s="13"/>
      <c r="Q567" s="13"/>
    </row>
    <row r="568" hidden="1">
      <c r="C568" s="13"/>
      <c r="Q568" s="13"/>
    </row>
    <row r="569" hidden="1">
      <c r="C569" s="13"/>
      <c r="Q569" s="13"/>
    </row>
    <row r="570" hidden="1">
      <c r="C570" s="13"/>
      <c r="Q570" s="13"/>
    </row>
    <row r="571" hidden="1">
      <c r="C571" s="13"/>
      <c r="Q571" s="13"/>
    </row>
    <row r="572" hidden="1">
      <c r="C572" s="13"/>
      <c r="Q572" s="13"/>
    </row>
    <row r="573" hidden="1">
      <c r="C573" s="13"/>
      <c r="Q573" s="13"/>
    </row>
    <row r="574" hidden="1">
      <c r="C574" s="13"/>
      <c r="Q574" s="13"/>
    </row>
    <row r="575" hidden="1">
      <c r="C575" s="13"/>
      <c r="Q575" s="13"/>
    </row>
    <row r="576" hidden="1">
      <c r="C576" s="13"/>
      <c r="Q576" s="13"/>
    </row>
    <row r="577" hidden="1">
      <c r="C577" s="13"/>
      <c r="Q577" s="13"/>
    </row>
    <row r="578" hidden="1">
      <c r="C578" s="13"/>
      <c r="Q578" s="13"/>
    </row>
    <row r="579" hidden="1">
      <c r="C579" s="13"/>
      <c r="Q579" s="13"/>
    </row>
    <row r="580" hidden="1">
      <c r="C580" s="13"/>
      <c r="Q580" s="13"/>
    </row>
    <row r="581" hidden="1">
      <c r="C581" s="13"/>
      <c r="Q581" s="13"/>
    </row>
    <row r="582" hidden="1">
      <c r="C582" s="13"/>
      <c r="Q582" s="13"/>
    </row>
    <row r="583" hidden="1">
      <c r="C583" s="13"/>
      <c r="Q583" s="13"/>
    </row>
    <row r="584" hidden="1">
      <c r="C584" s="13"/>
      <c r="Q584" s="13"/>
    </row>
    <row r="585" hidden="1">
      <c r="C585" s="13"/>
      <c r="Q585" s="13"/>
    </row>
    <row r="586" hidden="1">
      <c r="C586" s="13"/>
      <c r="Q586" s="13"/>
    </row>
    <row r="587" hidden="1">
      <c r="C587" s="13"/>
      <c r="Q587" s="13"/>
    </row>
    <row r="588" hidden="1">
      <c r="C588" s="13"/>
      <c r="Q588" s="13"/>
    </row>
    <row r="589" hidden="1">
      <c r="C589" s="13"/>
      <c r="Q589" s="13"/>
    </row>
    <row r="590" hidden="1">
      <c r="C590" s="13"/>
      <c r="Q590" s="13"/>
    </row>
    <row r="591" hidden="1">
      <c r="C591" s="13"/>
      <c r="Q591" s="13"/>
    </row>
    <row r="592" hidden="1">
      <c r="C592" s="13"/>
      <c r="Q592" s="13"/>
    </row>
    <row r="593" hidden="1">
      <c r="C593" s="13"/>
      <c r="Q593" s="13"/>
    </row>
    <row r="594" hidden="1">
      <c r="C594" s="13"/>
      <c r="Q594" s="13"/>
    </row>
    <row r="595" hidden="1">
      <c r="C595" s="13"/>
      <c r="Q595" s="13"/>
    </row>
    <row r="596" hidden="1">
      <c r="C596" s="13"/>
      <c r="Q596" s="13"/>
    </row>
    <row r="597" hidden="1">
      <c r="C597" s="13"/>
      <c r="Q597" s="13"/>
    </row>
    <row r="598" hidden="1">
      <c r="C598" s="13"/>
      <c r="Q598" s="13"/>
    </row>
    <row r="599" hidden="1">
      <c r="C599" s="13"/>
      <c r="Q599" s="13"/>
    </row>
    <row r="600" hidden="1">
      <c r="C600" s="13"/>
      <c r="Q600" s="13"/>
    </row>
    <row r="601" hidden="1">
      <c r="C601" s="13"/>
      <c r="Q601" s="13"/>
    </row>
    <row r="602" hidden="1">
      <c r="C602" s="13"/>
      <c r="Q602" s="13"/>
    </row>
    <row r="603" hidden="1">
      <c r="C603" s="13"/>
      <c r="Q603" s="13"/>
    </row>
    <row r="604" hidden="1">
      <c r="C604" s="13"/>
      <c r="Q604" s="13"/>
    </row>
    <row r="605" hidden="1">
      <c r="C605" s="13"/>
      <c r="Q605" s="13"/>
    </row>
    <row r="606" hidden="1">
      <c r="C606" s="13"/>
      <c r="Q606" s="13"/>
    </row>
    <row r="607" hidden="1">
      <c r="C607" s="13"/>
      <c r="Q607" s="13"/>
    </row>
    <row r="608" hidden="1">
      <c r="C608" s="13"/>
      <c r="Q608" s="13"/>
    </row>
    <row r="609" hidden="1">
      <c r="C609" s="13"/>
      <c r="Q609" s="13"/>
    </row>
    <row r="610" hidden="1">
      <c r="C610" s="13"/>
      <c r="Q610" s="13"/>
    </row>
    <row r="611" hidden="1">
      <c r="C611" s="13"/>
      <c r="Q611" s="13"/>
    </row>
    <row r="612" hidden="1">
      <c r="C612" s="13"/>
      <c r="Q612" s="13"/>
    </row>
    <row r="613" hidden="1">
      <c r="C613" s="13"/>
      <c r="Q613" s="13"/>
    </row>
    <row r="614" hidden="1">
      <c r="C614" s="13"/>
      <c r="Q614" s="13"/>
    </row>
    <row r="615" hidden="1">
      <c r="C615" s="13"/>
      <c r="Q615" s="13"/>
    </row>
    <row r="616" hidden="1">
      <c r="C616" s="13"/>
      <c r="Q616" s="13"/>
    </row>
    <row r="617" hidden="1">
      <c r="C617" s="13"/>
      <c r="Q617" s="13"/>
    </row>
    <row r="618" hidden="1">
      <c r="C618" s="13"/>
      <c r="Q618" s="13"/>
    </row>
    <row r="619" hidden="1">
      <c r="C619" s="13"/>
      <c r="Q619" s="13"/>
    </row>
    <row r="620" hidden="1">
      <c r="C620" s="13"/>
      <c r="Q620" s="13"/>
    </row>
    <row r="621" hidden="1">
      <c r="C621" s="13"/>
      <c r="Q621" s="13"/>
    </row>
    <row r="622" hidden="1">
      <c r="C622" s="13"/>
      <c r="Q622" s="13"/>
    </row>
    <row r="623" hidden="1">
      <c r="C623" s="13"/>
      <c r="Q623" s="13"/>
    </row>
    <row r="624" hidden="1">
      <c r="C624" s="13"/>
      <c r="Q624" s="13"/>
    </row>
    <row r="625" hidden="1">
      <c r="C625" s="13"/>
      <c r="Q625" s="13"/>
    </row>
    <row r="626" hidden="1">
      <c r="C626" s="13"/>
      <c r="Q626" s="13"/>
    </row>
    <row r="627" hidden="1">
      <c r="C627" s="13"/>
      <c r="Q627" s="13"/>
    </row>
    <row r="628" hidden="1">
      <c r="C628" s="13"/>
      <c r="Q628" s="13"/>
    </row>
    <row r="629" hidden="1">
      <c r="C629" s="13"/>
      <c r="Q629" s="13"/>
    </row>
    <row r="630" hidden="1">
      <c r="C630" s="13"/>
      <c r="Q630" s="13"/>
    </row>
    <row r="631" hidden="1">
      <c r="C631" s="13"/>
      <c r="Q631" s="13"/>
    </row>
    <row r="632" hidden="1">
      <c r="C632" s="13"/>
      <c r="Q632" s="13"/>
    </row>
    <row r="633" hidden="1">
      <c r="C633" s="13"/>
      <c r="Q633" s="13"/>
    </row>
    <row r="634" hidden="1">
      <c r="C634" s="13"/>
      <c r="Q634" s="13"/>
    </row>
    <row r="635" hidden="1">
      <c r="C635" s="13"/>
      <c r="Q635" s="13"/>
    </row>
    <row r="636" hidden="1">
      <c r="C636" s="13"/>
      <c r="Q636" s="13"/>
    </row>
    <row r="637" hidden="1">
      <c r="C637" s="13"/>
      <c r="Q637" s="13"/>
    </row>
    <row r="638" hidden="1">
      <c r="C638" s="13"/>
      <c r="Q638" s="13"/>
    </row>
    <row r="639" hidden="1">
      <c r="C639" s="13"/>
      <c r="Q639" s="13"/>
    </row>
    <row r="640" hidden="1">
      <c r="C640" s="13"/>
      <c r="Q640" s="13"/>
    </row>
    <row r="641" hidden="1">
      <c r="C641" s="13"/>
      <c r="Q641" s="13"/>
    </row>
    <row r="642" hidden="1">
      <c r="C642" s="13"/>
      <c r="Q642" s="13"/>
    </row>
    <row r="643" hidden="1">
      <c r="C643" s="13"/>
      <c r="Q643" s="13"/>
    </row>
    <row r="644" hidden="1">
      <c r="C644" s="13"/>
      <c r="Q644" s="13"/>
    </row>
    <row r="645" hidden="1">
      <c r="C645" s="13"/>
      <c r="Q645" s="13"/>
    </row>
    <row r="646" hidden="1">
      <c r="C646" s="13"/>
      <c r="Q646" s="13"/>
    </row>
    <row r="647" hidden="1">
      <c r="C647" s="13"/>
      <c r="Q647" s="13"/>
    </row>
    <row r="648" hidden="1">
      <c r="C648" s="13"/>
      <c r="Q648" s="13"/>
    </row>
    <row r="649" hidden="1">
      <c r="C649" s="13"/>
      <c r="Q649" s="13"/>
    </row>
    <row r="650" hidden="1">
      <c r="C650" s="13"/>
      <c r="Q650" s="13"/>
    </row>
    <row r="651" hidden="1">
      <c r="C651" s="13"/>
      <c r="Q651" s="13"/>
    </row>
    <row r="652" hidden="1">
      <c r="C652" s="13"/>
      <c r="Q652" s="13"/>
    </row>
    <row r="653" hidden="1">
      <c r="C653" s="13"/>
      <c r="Q653" s="13"/>
    </row>
    <row r="654" hidden="1">
      <c r="C654" s="13"/>
      <c r="Q654" s="13"/>
    </row>
    <row r="655" hidden="1">
      <c r="C655" s="13"/>
      <c r="Q655" s="13"/>
    </row>
    <row r="656" hidden="1">
      <c r="C656" s="13"/>
      <c r="Q656" s="13"/>
    </row>
    <row r="657" hidden="1">
      <c r="C657" s="13"/>
      <c r="Q657" s="13"/>
    </row>
    <row r="658" hidden="1">
      <c r="C658" s="13"/>
      <c r="Q658" s="13"/>
    </row>
    <row r="659" hidden="1">
      <c r="C659" s="13"/>
      <c r="Q659" s="13"/>
    </row>
    <row r="660" hidden="1">
      <c r="C660" s="13"/>
      <c r="Q660" s="13"/>
    </row>
    <row r="661" hidden="1">
      <c r="C661" s="13"/>
      <c r="Q661" s="13"/>
    </row>
    <row r="662" hidden="1">
      <c r="C662" s="13"/>
      <c r="Q662" s="13"/>
    </row>
    <row r="663" hidden="1">
      <c r="C663" s="13"/>
      <c r="Q663" s="13"/>
    </row>
    <row r="664" hidden="1">
      <c r="C664" s="13"/>
      <c r="Q664" s="13"/>
    </row>
    <row r="665" hidden="1">
      <c r="C665" s="13"/>
      <c r="Q665" s="13"/>
    </row>
    <row r="666" hidden="1">
      <c r="C666" s="13"/>
      <c r="Q666" s="13"/>
    </row>
    <row r="667" hidden="1">
      <c r="C667" s="13"/>
      <c r="Q667" s="13"/>
    </row>
    <row r="668" hidden="1">
      <c r="C668" s="13"/>
      <c r="Q668" s="13"/>
    </row>
    <row r="669" hidden="1">
      <c r="C669" s="13"/>
      <c r="Q669" s="13"/>
    </row>
    <row r="670" hidden="1">
      <c r="C670" s="13"/>
      <c r="Q670" s="13"/>
    </row>
    <row r="671" hidden="1">
      <c r="C671" s="13"/>
      <c r="Q671" s="13"/>
    </row>
    <row r="672" hidden="1">
      <c r="C672" s="13"/>
      <c r="Q672" s="13"/>
    </row>
    <row r="673" hidden="1">
      <c r="C673" s="13"/>
      <c r="Q673" s="13"/>
    </row>
    <row r="674" hidden="1">
      <c r="C674" s="13"/>
      <c r="Q674" s="13"/>
    </row>
    <row r="675" hidden="1">
      <c r="C675" s="13"/>
      <c r="Q675" s="13"/>
    </row>
    <row r="676" hidden="1">
      <c r="C676" s="13"/>
      <c r="Q676" s="13"/>
    </row>
    <row r="677" hidden="1">
      <c r="C677" s="13"/>
      <c r="Q677" s="13"/>
    </row>
    <row r="678" hidden="1">
      <c r="C678" s="13"/>
      <c r="Q678" s="13"/>
    </row>
    <row r="679" hidden="1">
      <c r="C679" s="13"/>
      <c r="Q679" s="13"/>
    </row>
    <row r="680" hidden="1">
      <c r="C680" s="13"/>
      <c r="Q680" s="13"/>
    </row>
    <row r="681" hidden="1">
      <c r="C681" s="13"/>
      <c r="Q681" s="13"/>
    </row>
    <row r="682" hidden="1">
      <c r="C682" s="13"/>
      <c r="Q682" s="13"/>
    </row>
    <row r="683" hidden="1">
      <c r="C683" s="13"/>
      <c r="Q683" s="13"/>
    </row>
    <row r="684" hidden="1">
      <c r="C684" s="13"/>
      <c r="Q684" s="13"/>
    </row>
    <row r="685" hidden="1">
      <c r="C685" s="13"/>
      <c r="Q685" s="13"/>
    </row>
    <row r="686" hidden="1">
      <c r="C686" s="13"/>
      <c r="Q686" s="13"/>
    </row>
    <row r="687" hidden="1">
      <c r="C687" s="13"/>
      <c r="Q687" s="13"/>
    </row>
    <row r="688" hidden="1">
      <c r="C688" s="13"/>
      <c r="Q688" s="13"/>
    </row>
    <row r="689" hidden="1">
      <c r="C689" s="13"/>
      <c r="Q689" s="13"/>
    </row>
    <row r="690" hidden="1">
      <c r="C690" s="13"/>
      <c r="Q690" s="13"/>
    </row>
    <row r="691" hidden="1">
      <c r="C691" s="13"/>
      <c r="Q691" s="13"/>
    </row>
    <row r="692" hidden="1">
      <c r="C692" s="13"/>
      <c r="Q692" s="13"/>
    </row>
    <row r="693" hidden="1">
      <c r="C693" s="13"/>
      <c r="Q693" s="13"/>
    </row>
    <row r="694" hidden="1">
      <c r="C694" s="13"/>
      <c r="Q694" s="13"/>
    </row>
    <row r="695" hidden="1">
      <c r="C695" s="13"/>
      <c r="Q695" s="13"/>
    </row>
    <row r="696" hidden="1">
      <c r="C696" s="13"/>
      <c r="Q696" s="13"/>
    </row>
    <row r="697" hidden="1">
      <c r="C697" s="13"/>
      <c r="Q697" s="13"/>
    </row>
    <row r="698" hidden="1">
      <c r="C698" s="13"/>
      <c r="Q698" s="13"/>
    </row>
    <row r="699" hidden="1">
      <c r="C699" s="13"/>
      <c r="Q699" s="13"/>
    </row>
    <row r="700" hidden="1">
      <c r="C700" s="13"/>
      <c r="Q700" s="13"/>
    </row>
    <row r="701" hidden="1">
      <c r="C701" s="13"/>
      <c r="Q701" s="13"/>
    </row>
    <row r="702" hidden="1">
      <c r="C702" s="13"/>
      <c r="Q702" s="13"/>
    </row>
    <row r="703" hidden="1">
      <c r="C703" s="13"/>
      <c r="Q703" s="13"/>
    </row>
    <row r="704" hidden="1">
      <c r="C704" s="13"/>
      <c r="Q704" s="13"/>
    </row>
    <row r="705" hidden="1">
      <c r="C705" s="13"/>
      <c r="Q705" s="13"/>
    </row>
    <row r="706" hidden="1">
      <c r="C706" s="13"/>
      <c r="Q706" s="13"/>
    </row>
    <row r="707" hidden="1">
      <c r="C707" s="13"/>
      <c r="Q707" s="13"/>
    </row>
    <row r="708" hidden="1">
      <c r="C708" s="13"/>
      <c r="Q708" s="13"/>
    </row>
    <row r="709" hidden="1">
      <c r="C709" s="13"/>
      <c r="Q709" s="13"/>
    </row>
    <row r="710" hidden="1">
      <c r="C710" s="13"/>
      <c r="Q710" s="13"/>
    </row>
    <row r="711" hidden="1">
      <c r="C711" s="13"/>
      <c r="Q711" s="13"/>
    </row>
    <row r="712" hidden="1">
      <c r="C712" s="13"/>
      <c r="Q712" s="13"/>
    </row>
    <row r="713" hidden="1">
      <c r="C713" s="13"/>
      <c r="Q713" s="13"/>
    </row>
    <row r="714" hidden="1">
      <c r="C714" s="13"/>
      <c r="Q714" s="13"/>
    </row>
    <row r="715" hidden="1">
      <c r="C715" s="13"/>
      <c r="Q715" s="13"/>
    </row>
    <row r="716" hidden="1">
      <c r="C716" s="13"/>
      <c r="Q716" s="13"/>
    </row>
    <row r="717" hidden="1">
      <c r="C717" s="13"/>
      <c r="Q717" s="13"/>
    </row>
    <row r="718" hidden="1">
      <c r="C718" s="13"/>
      <c r="Q718" s="13"/>
    </row>
    <row r="719" hidden="1">
      <c r="C719" s="13"/>
      <c r="Q719" s="13"/>
    </row>
    <row r="720" hidden="1">
      <c r="C720" s="13"/>
      <c r="Q720" s="13"/>
    </row>
    <row r="721" hidden="1">
      <c r="C721" s="13"/>
      <c r="Q721" s="13"/>
    </row>
    <row r="722" hidden="1">
      <c r="C722" s="13"/>
      <c r="Q722" s="13"/>
    </row>
    <row r="723" hidden="1">
      <c r="C723" s="13"/>
      <c r="Q723" s="13"/>
    </row>
    <row r="724" hidden="1">
      <c r="C724" s="13"/>
      <c r="Q724" s="13"/>
    </row>
    <row r="725" hidden="1">
      <c r="C725" s="13"/>
      <c r="Q725" s="13"/>
    </row>
    <row r="726" hidden="1">
      <c r="C726" s="13"/>
      <c r="Q726" s="13"/>
    </row>
    <row r="727" hidden="1">
      <c r="C727" s="13"/>
      <c r="Q727" s="13"/>
    </row>
    <row r="728" hidden="1">
      <c r="C728" s="13"/>
      <c r="Q728" s="13"/>
    </row>
    <row r="729" hidden="1">
      <c r="C729" s="13"/>
      <c r="Q729" s="13"/>
    </row>
    <row r="730" hidden="1">
      <c r="C730" s="13"/>
      <c r="Q730" s="13"/>
    </row>
    <row r="731" hidden="1">
      <c r="C731" s="13"/>
      <c r="Q731" s="13"/>
    </row>
    <row r="732" hidden="1">
      <c r="C732" s="13"/>
      <c r="Q732" s="13"/>
    </row>
    <row r="733" hidden="1">
      <c r="C733" s="13"/>
      <c r="Q733" s="13"/>
    </row>
    <row r="734" hidden="1">
      <c r="C734" s="13"/>
      <c r="Q734" s="13"/>
    </row>
    <row r="735" hidden="1">
      <c r="C735" s="13"/>
      <c r="Q735" s="13"/>
    </row>
    <row r="736" hidden="1">
      <c r="C736" s="13"/>
      <c r="Q736" s="13"/>
    </row>
    <row r="737" hidden="1">
      <c r="C737" s="13"/>
      <c r="Q737" s="13"/>
    </row>
    <row r="738" hidden="1">
      <c r="C738" s="13"/>
      <c r="Q738" s="13"/>
    </row>
    <row r="739" hidden="1">
      <c r="C739" s="13"/>
      <c r="Q739" s="13"/>
    </row>
    <row r="740" hidden="1">
      <c r="C740" s="13"/>
      <c r="Q740" s="13"/>
    </row>
    <row r="741" hidden="1">
      <c r="C741" s="13"/>
      <c r="Q741" s="13"/>
    </row>
    <row r="742" hidden="1">
      <c r="C742" s="13"/>
      <c r="Q742" s="13"/>
    </row>
    <row r="743" hidden="1">
      <c r="C743" s="13"/>
      <c r="Q743" s="13"/>
    </row>
    <row r="744" hidden="1">
      <c r="C744" s="13"/>
      <c r="Q744" s="13"/>
    </row>
    <row r="745" hidden="1">
      <c r="C745" s="13"/>
      <c r="Q745" s="13"/>
    </row>
    <row r="746" hidden="1">
      <c r="C746" s="13"/>
      <c r="Q746" s="13"/>
    </row>
    <row r="747" hidden="1">
      <c r="C747" s="13"/>
      <c r="Q747" s="13"/>
    </row>
    <row r="748" hidden="1">
      <c r="C748" s="13"/>
      <c r="Q748" s="13"/>
    </row>
    <row r="749" hidden="1">
      <c r="C749" s="13"/>
      <c r="Q749" s="13"/>
    </row>
    <row r="750" hidden="1">
      <c r="C750" s="13"/>
      <c r="Q750" s="13"/>
    </row>
    <row r="751" hidden="1">
      <c r="C751" s="13"/>
      <c r="Q751" s="13"/>
    </row>
    <row r="752" hidden="1">
      <c r="C752" s="13"/>
      <c r="Q752" s="13"/>
    </row>
    <row r="753" hidden="1">
      <c r="C753" s="13"/>
      <c r="Q753" s="13"/>
    </row>
    <row r="754" hidden="1">
      <c r="C754" s="13"/>
      <c r="Q754" s="13"/>
    </row>
    <row r="755" hidden="1">
      <c r="C755" s="13"/>
      <c r="Q755" s="13"/>
    </row>
    <row r="756" hidden="1">
      <c r="C756" s="13"/>
      <c r="Q756" s="13"/>
    </row>
    <row r="757" hidden="1">
      <c r="C757" s="13"/>
      <c r="Q757" s="13"/>
    </row>
    <row r="758" hidden="1">
      <c r="C758" s="13"/>
      <c r="Q758" s="13"/>
    </row>
    <row r="759" hidden="1">
      <c r="C759" s="13"/>
      <c r="Q759" s="13"/>
    </row>
    <row r="760" hidden="1">
      <c r="C760" s="13"/>
      <c r="Q760" s="13"/>
    </row>
    <row r="761" hidden="1">
      <c r="C761" s="13"/>
      <c r="Q761" s="13"/>
    </row>
    <row r="762" hidden="1">
      <c r="C762" s="13"/>
      <c r="Q762" s="13"/>
    </row>
    <row r="763" hidden="1">
      <c r="C763" s="13"/>
      <c r="Q763" s="13"/>
    </row>
    <row r="764" hidden="1">
      <c r="C764" s="13"/>
      <c r="Q764" s="13"/>
    </row>
    <row r="765" hidden="1">
      <c r="C765" s="13"/>
      <c r="Q765" s="13"/>
    </row>
    <row r="766" hidden="1">
      <c r="C766" s="13"/>
      <c r="Q766" s="13"/>
    </row>
    <row r="767" hidden="1">
      <c r="C767" s="13"/>
      <c r="Q767" s="13"/>
    </row>
    <row r="768" hidden="1">
      <c r="C768" s="13"/>
      <c r="Q768" s="13"/>
    </row>
    <row r="769" hidden="1">
      <c r="C769" s="13"/>
      <c r="Q769" s="13"/>
    </row>
    <row r="770" hidden="1">
      <c r="C770" s="13"/>
      <c r="Q770" s="13"/>
    </row>
    <row r="771" hidden="1">
      <c r="C771" s="13"/>
      <c r="Q771" s="13"/>
    </row>
    <row r="772" hidden="1">
      <c r="C772" s="13"/>
      <c r="Q772" s="13"/>
    </row>
    <row r="773" hidden="1">
      <c r="C773" s="13"/>
      <c r="Q773" s="13"/>
    </row>
    <row r="774" hidden="1">
      <c r="C774" s="13"/>
      <c r="Q774" s="13"/>
    </row>
    <row r="775" hidden="1">
      <c r="C775" s="13"/>
      <c r="Q775" s="13"/>
    </row>
    <row r="776" hidden="1">
      <c r="C776" s="13"/>
      <c r="Q776" s="13"/>
    </row>
    <row r="777" hidden="1">
      <c r="C777" s="13"/>
      <c r="Q777" s="13"/>
    </row>
    <row r="778" hidden="1">
      <c r="C778" s="13"/>
      <c r="Q778" s="13"/>
    </row>
    <row r="779" hidden="1">
      <c r="C779" s="13"/>
      <c r="Q779" s="13"/>
    </row>
    <row r="780" hidden="1">
      <c r="C780" s="13"/>
      <c r="Q780" s="13"/>
    </row>
    <row r="781" hidden="1">
      <c r="C781" s="13"/>
      <c r="Q781" s="13"/>
    </row>
    <row r="782" hidden="1">
      <c r="C782" s="13"/>
      <c r="Q782" s="13"/>
    </row>
    <row r="783" hidden="1">
      <c r="C783" s="13"/>
      <c r="Q783" s="13"/>
    </row>
    <row r="784" hidden="1">
      <c r="C784" s="13"/>
      <c r="Q784" s="13"/>
    </row>
    <row r="785" hidden="1">
      <c r="C785" s="13"/>
      <c r="Q785" s="13"/>
    </row>
    <row r="786" hidden="1">
      <c r="C786" s="13"/>
      <c r="Q786" s="13"/>
    </row>
    <row r="787" hidden="1">
      <c r="C787" s="13"/>
      <c r="Q787" s="13"/>
    </row>
    <row r="788" hidden="1">
      <c r="C788" s="13"/>
      <c r="Q788" s="13"/>
    </row>
    <row r="789" hidden="1">
      <c r="C789" s="13"/>
      <c r="Q789" s="13"/>
    </row>
    <row r="790" hidden="1">
      <c r="C790" s="13"/>
      <c r="Q790" s="13"/>
    </row>
    <row r="791" hidden="1">
      <c r="C791" s="13"/>
      <c r="Q791" s="13"/>
    </row>
    <row r="792" hidden="1">
      <c r="C792" s="13"/>
      <c r="Q792" s="13"/>
    </row>
    <row r="793" hidden="1">
      <c r="C793" s="13"/>
      <c r="Q793" s="13"/>
    </row>
    <row r="794" hidden="1">
      <c r="C794" s="13"/>
      <c r="Q794" s="13"/>
    </row>
    <row r="795" hidden="1">
      <c r="C795" s="13"/>
      <c r="Q795" s="13"/>
    </row>
    <row r="796" hidden="1">
      <c r="C796" s="13"/>
      <c r="Q796" s="13"/>
    </row>
    <row r="797" hidden="1">
      <c r="C797" s="13"/>
      <c r="Q797" s="13"/>
    </row>
    <row r="798" hidden="1">
      <c r="C798" s="13"/>
      <c r="Q798" s="13"/>
    </row>
    <row r="799" hidden="1">
      <c r="C799" s="13"/>
      <c r="Q799" s="13"/>
    </row>
    <row r="800" hidden="1">
      <c r="C800" s="13"/>
      <c r="Q800" s="13"/>
    </row>
    <row r="801" hidden="1">
      <c r="C801" s="13"/>
      <c r="Q801" s="13"/>
    </row>
    <row r="802" hidden="1">
      <c r="C802" s="13"/>
      <c r="Q802" s="13"/>
    </row>
    <row r="803" hidden="1">
      <c r="C803" s="13"/>
      <c r="Q803" s="13"/>
    </row>
    <row r="804" hidden="1">
      <c r="C804" s="13"/>
      <c r="Q804" s="13"/>
    </row>
    <row r="805" hidden="1">
      <c r="C805" s="13"/>
      <c r="Q805" s="13"/>
    </row>
    <row r="806" hidden="1">
      <c r="C806" s="13"/>
      <c r="Q806" s="13"/>
    </row>
    <row r="807" hidden="1">
      <c r="C807" s="13"/>
      <c r="Q807" s="13"/>
    </row>
    <row r="808" hidden="1">
      <c r="C808" s="13"/>
      <c r="Q808" s="13"/>
    </row>
    <row r="809" hidden="1">
      <c r="C809" s="13"/>
      <c r="Q809" s="13"/>
    </row>
    <row r="810" hidden="1">
      <c r="C810" s="13"/>
      <c r="Q810" s="13"/>
    </row>
    <row r="811" hidden="1">
      <c r="C811" s="13"/>
      <c r="Q811" s="13"/>
    </row>
    <row r="812" hidden="1">
      <c r="C812" s="13"/>
      <c r="Q812" s="13"/>
    </row>
    <row r="813" hidden="1">
      <c r="C813" s="13"/>
      <c r="Q813" s="13"/>
    </row>
    <row r="814" hidden="1">
      <c r="C814" s="13"/>
      <c r="Q814" s="13"/>
    </row>
    <row r="815" hidden="1">
      <c r="C815" s="13"/>
      <c r="Q815" s="13"/>
    </row>
    <row r="816" hidden="1">
      <c r="C816" s="13"/>
      <c r="Q816" s="13"/>
    </row>
    <row r="817" hidden="1">
      <c r="C817" s="13"/>
      <c r="Q817" s="13"/>
    </row>
    <row r="818" hidden="1">
      <c r="C818" s="13"/>
      <c r="Q818" s="13"/>
    </row>
    <row r="819" hidden="1">
      <c r="C819" s="13"/>
      <c r="Q819" s="13"/>
    </row>
    <row r="820" hidden="1">
      <c r="C820" s="13"/>
      <c r="Q820" s="13"/>
    </row>
    <row r="821" hidden="1">
      <c r="C821" s="13"/>
      <c r="Q821" s="13"/>
    </row>
    <row r="822" hidden="1">
      <c r="C822" s="13"/>
      <c r="Q822" s="13"/>
    </row>
    <row r="823" hidden="1">
      <c r="C823" s="13"/>
      <c r="Q823" s="13"/>
    </row>
    <row r="824" hidden="1">
      <c r="C824" s="13"/>
      <c r="Q824" s="13"/>
    </row>
    <row r="825" hidden="1">
      <c r="C825" s="13"/>
      <c r="Q825" s="13"/>
    </row>
    <row r="826" hidden="1">
      <c r="C826" s="13"/>
      <c r="Q826" s="13"/>
    </row>
    <row r="827" hidden="1">
      <c r="C827" s="13"/>
      <c r="Q827" s="13"/>
    </row>
    <row r="828" hidden="1">
      <c r="C828" s="13"/>
      <c r="Q828" s="13"/>
    </row>
    <row r="829" hidden="1">
      <c r="C829" s="13"/>
      <c r="Q829" s="13"/>
    </row>
    <row r="830" hidden="1">
      <c r="C830" s="13"/>
      <c r="Q830" s="13"/>
    </row>
    <row r="831" hidden="1">
      <c r="C831" s="13"/>
      <c r="Q831" s="13"/>
    </row>
    <row r="832" hidden="1">
      <c r="C832" s="13"/>
      <c r="Q832" s="13"/>
    </row>
    <row r="833" hidden="1">
      <c r="C833" s="13"/>
      <c r="Q833" s="13"/>
    </row>
    <row r="834" hidden="1">
      <c r="C834" s="13"/>
      <c r="Q834" s="13"/>
    </row>
    <row r="835" hidden="1">
      <c r="C835" s="13"/>
      <c r="Q835" s="13"/>
    </row>
    <row r="836" hidden="1">
      <c r="C836" s="13"/>
      <c r="Q836" s="13"/>
    </row>
    <row r="837" hidden="1">
      <c r="C837" s="13"/>
      <c r="Q837" s="13"/>
    </row>
    <row r="838" hidden="1">
      <c r="C838" s="13"/>
      <c r="Q838" s="13"/>
    </row>
    <row r="839" hidden="1">
      <c r="C839" s="13"/>
      <c r="Q839" s="13"/>
    </row>
    <row r="840" hidden="1">
      <c r="C840" s="13"/>
      <c r="Q840" s="13"/>
    </row>
    <row r="841" hidden="1">
      <c r="C841" s="13"/>
      <c r="Q841" s="13"/>
    </row>
    <row r="842" hidden="1">
      <c r="C842" s="13"/>
      <c r="Q842" s="13"/>
    </row>
    <row r="843" hidden="1">
      <c r="C843" s="13"/>
      <c r="Q843" s="13"/>
    </row>
    <row r="844" hidden="1">
      <c r="C844" s="13"/>
      <c r="Q844" s="13"/>
    </row>
    <row r="845" hidden="1">
      <c r="C845" s="13"/>
      <c r="Q845" s="13"/>
    </row>
    <row r="846" hidden="1">
      <c r="C846" s="13"/>
      <c r="Q846" s="13"/>
    </row>
    <row r="847" hidden="1">
      <c r="C847" s="13"/>
      <c r="Q847" s="13"/>
    </row>
    <row r="848" hidden="1">
      <c r="C848" s="13"/>
      <c r="Q848" s="13"/>
    </row>
    <row r="849" hidden="1">
      <c r="C849" s="13"/>
      <c r="Q849" s="13"/>
    </row>
    <row r="850" hidden="1">
      <c r="C850" s="13"/>
      <c r="Q850" s="13"/>
    </row>
    <row r="851" hidden="1">
      <c r="C851" s="13"/>
      <c r="Q851" s="13"/>
    </row>
    <row r="852" hidden="1">
      <c r="C852" s="13"/>
      <c r="Q852" s="13"/>
    </row>
    <row r="853" hidden="1">
      <c r="C853" s="13"/>
      <c r="Q853" s="13"/>
    </row>
    <row r="854" hidden="1">
      <c r="C854" s="13"/>
      <c r="Q854" s="13"/>
    </row>
    <row r="855" hidden="1">
      <c r="C855" s="13"/>
      <c r="Q855" s="13"/>
    </row>
    <row r="856" hidden="1">
      <c r="C856" s="13"/>
      <c r="Q856" s="13"/>
    </row>
    <row r="857" hidden="1">
      <c r="C857" s="13"/>
      <c r="Q857" s="13"/>
    </row>
    <row r="858" hidden="1">
      <c r="C858" s="13"/>
      <c r="Q858" s="13"/>
    </row>
    <row r="859" hidden="1">
      <c r="C859" s="13"/>
      <c r="Q859" s="13"/>
    </row>
    <row r="860" hidden="1">
      <c r="C860" s="13"/>
      <c r="Q860" s="13"/>
    </row>
    <row r="861" hidden="1">
      <c r="C861" s="13"/>
      <c r="Q861" s="13"/>
    </row>
    <row r="862" hidden="1">
      <c r="C862" s="13"/>
      <c r="Q862" s="13"/>
    </row>
    <row r="863" hidden="1">
      <c r="C863" s="13"/>
      <c r="Q863" s="13"/>
    </row>
    <row r="864" hidden="1">
      <c r="C864" s="13"/>
      <c r="Q864" s="13"/>
    </row>
    <row r="865" hidden="1">
      <c r="C865" s="13"/>
      <c r="Q865" s="13"/>
    </row>
    <row r="866" hidden="1">
      <c r="C866" s="13"/>
      <c r="Q866" s="13"/>
    </row>
    <row r="867" hidden="1">
      <c r="C867" s="13"/>
      <c r="Q867" s="13"/>
    </row>
    <row r="868" hidden="1">
      <c r="C868" s="13"/>
      <c r="Q868" s="13"/>
    </row>
    <row r="869" hidden="1">
      <c r="C869" s="13"/>
      <c r="Q869" s="13"/>
    </row>
    <row r="870" hidden="1">
      <c r="C870" s="13"/>
      <c r="Q870" s="13"/>
    </row>
    <row r="871" hidden="1">
      <c r="C871" s="13"/>
      <c r="Q871" s="13"/>
    </row>
    <row r="872" hidden="1">
      <c r="C872" s="13"/>
      <c r="Q872" s="13"/>
    </row>
    <row r="873" hidden="1">
      <c r="C873" s="13"/>
      <c r="Q873" s="13"/>
    </row>
    <row r="874" hidden="1">
      <c r="C874" s="13"/>
      <c r="Q874" s="13"/>
    </row>
    <row r="875" hidden="1">
      <c r="C875" s="13"/>
      <c r="Q875" s="13"/>
    </row>
    <row r="876" hidden="1">
      <c r="C876" s="13"/>
      <c r="Q876" s="13"/>
    </row>
    <row r="877" hidden="1">
      <c r="C877" s="13"/>
      <c r="Q877" s="13"/>
    </row>
    <row r="878" hidden="1">
      <c r="C878" s="13"/>
      <c r="Q878" s="13"/>
    </row>
    <row r="879" hidden="1">
      <c r="C879" s="13"/>
      <c r="Q879" s="13"/>
    </row>
    <row r="880" hidden="1">
      <c r="C880" s="13"/>
      <c r="Q880" s="13"/>
    </row>
    <row r="881" hidden="1">
      <c r="C881" s="13"/>
      <c r="Q881" s="13"/>
    </row>
    <row r="882" hidden="1">
      <c r="C882" s="13"/>
      <c r="Q882" s="13"/>
    </row>
    <row r="883" hidden="1">
      <c r="C883" s="13"/>
      <c r="Q883" s="13"/>
    </row>
    <row r="884" hidden="1">
      <c r="C884" s="13"/>
      <c r="Q884" s="13"/>
    </row>
    <row r="885" hidden="1">
      <c r="C885" s="13"/>
      <c r="Q885" s="13"/>
    </row>
    <row r="886" hidden="1">
      <c r="C886" s="13"/>
      <c r="Q886" s="13"/>
    </row>
    <row r="887" hidden="1">
      <c r="C887" s="13"/>
      <c r="Q887" s="13"/>
    </row>
    <row r="888" hidden="1">
      <c r="C888" s="13"/>
      <c r="Q888" s="13"/>
    </row>
    <row r="889" hidden="1">
      <c r="C889" s="13"/>
      <c r="Q889" s="13"/>
    </row>
    <row r="890" hidden="1">
      <c r="C890" s="13"/>
      <c r="Q890" s="13"/>
    </row>
    <row r="891" hidden="1">
      <c r="C891" s="13"/>
      <c r="Q891" s="13"/>
    </row>
    <row r="892" hidden="1">
      <c r="C892" s="13"/>
      <c r="Q892" s="13"/>
    </row>
    <row r="893" hidden="1">
      <c r="C893" s="13"/>
      <c r="Q893" s="13"/>
    </row>
    <row r="894" hidden="1">
      <c r="C894" s="13"/>
      <c r="Q894" s="13"/>
    </row>
    <row r="895" hidden="1">
      <c r="C895" s="13"/>
      <c r="Q895" s="13"/>
    </row>
    <row r="896" hidden="1">
      <c r="C896" s="13"/>
      <c r="Q896" s="13"/>
    </row>
    <row r="897" hidden="1">
      <c r="C897" s="13"/>
      <c r="Q897" s="13"/>
    </row>
    <row r="898" hidden="1">
      <c r="C898" s="13"/>
      <c r="Q898" s="13"/>
    </row>
    <row r="899" hidden="1">
      <c r="C899" s="13"/>
      <c r="Q899" s="13"/>
    </row>
    <row r="900" hidden="1">
      <c r="C900" s="13"/>
      <c r="Q900" s="13"/>
    </row>
    <row r="901" hidden="1">
      <c r="C901" s="13"/>
      <c r="Q901" s="13"/>
    </row>
    <row r="902" hidden="1">
      <c r="C902" s="13"/>
      <c r="Q902" s="13"/>
    </row>
    <row r="903" hidden="1">
      <c r="C903" s="13"/>
      <c r="Q903" s="13"/>
    </row>
    <row r="904" hidden="1">
      <c r="C904" s="13"/>
      <c r="Q904" s="13"/>
    </row>
    <row r="905" hidden="1">
      <c r="C905" s="13"/>
      <c r="Q905" s="13"/>
    </row>
    <row r="906" hidden="1">
      <c r="C906" s="13"/>
      <c r="Q906" s="13"/>
    </row>
    <row r="907" hidden="1">
      <c r="C907" s="13"/>
      <c r="Q907" s="13"/>
    </row>
    <row r="908" hidden="1">
      <c r="C908" s="13"/>
      <c r="Q908" s="13"/>
    </row>
    <row r="909" hidden="1">
      <c r="C909" s="13"/>
      <c r="Q909" s="13"/>
    </row>
    <row r="910" hidden="1">
      <c r="C910" s="13"/>
      <c r="Q910" s="13"/>
    </row>
    <row r="911" hidden="1">
      <c r="C911" s="13"/>
      <c r="Q911" s="13"/>
    </row>
    <row r="912" hidden="1">
      <c r="C912" s="13"/>
      <c r="Q912" s="13"/>
    </row>
    <row r="913" hidden="1">
      <c r="C913" s="13"/>
      <c r="Q913" s="13"/>
    </row>
    <row r="914" hidden="1">
      <c r="C914" s="13"/>
      <c r="Q914" s="13"/>
    </row>
    <row r="915" hidden="1">
      <c r="C915" s="13"/>
      <c r="Q915" s="13"/>
    </row>
    <row r="916" hidden="1">
      <c r="C916" s="13"/>
      <c r="Q916" s="13"/>
    </row>
    <row r="917" hidden="1">
      <c r="C917" s="13"/>
      <c r="Q917" s="13"/>
    </row>
    <row r="918" hidden="1">
      <c r="C918" s="13"/>
      <c r="Q918" s="13"/>
    </row>
    <row r="919" hidden="1">
      <c r="C919" s="13"/>
      <c r="Q919" s="13"/>
    </row>
    <row r="920" hidden="1">
      <c r="C920" s="13"/>
      <c r="Q920" s="13"/>
    </row>
    <row r="921" hidden="1">
      <c r="C921" s="13"/>
      <c r="Q921" s="13"/>
    </row>
    <row r="922" hidden="1">
      <c r="C922" s="13"/>
      <c r="Q922" s="13"/>
    </row>
    <row r="923" hidden="1">
      <c r="C923" s="13"/>
      <c r="Q923" s="13"/>
    </row>
    <row r="924" hidden="1">
      <c r="C924" s="13"/>
      <c r="Q924" s="13"/>
    </row>
    <row r="925" hidden="1">
      <c r="C925" s="13"/>
      <c r="Q925" s="13"/>
    </row>
    <row r="926" hidden="1">
      <c r="C926" s="13"/>
      <c r="Q926" s="13"/>
    </row>
    <row r="927" hidden="1">
      <c r="C927" s="13"/>
      <c r="Q927" s="13"/>
    </row>
    <row r="928" hidden="1">
      <c r="C928" s="13"/>
      <c r="Q928" s="13"/>
    </row>
    <row r="929" hidden="1">
      <c r="C929" s="13"/>
      <c r="Q929" s="13"/>
    </row>
    <row r="930" hidden="1">
      <c r="C930" s="13"/>
      <c r="Q930" s="13"/>
    </row>
    <row r="931" hidden="1">
      <c r="C931" s="13"/>
      <c r="Q931" s="13"/>
    </row>
    <row r="932" hidden="1">
      <c r="C932" s="13"/>
      <c r="Q932" s="13"/>
    </row>
    <row r="933" hidden="1">
      <c r="C933" s="13"/>
      <c r="Q933" s="13"/>
    </row>
    <row r="934" hidden="1">
      <c r="C934" s="13"/>
      <c r="Q934" s="13"/>
    </row>
    <row r="935" hidden="1">
      <c r="C935" s="13"/>
      <c r="Q935" s="13"/>
    </row>
    <row r="936" hidden="1">
      <c r="C936" s="13"/>
      <c r="Q936" s="13"/>
    </row>
    <row r="937" hidden="1">
      <c r="C937" s="13"/>
      <c r="Q937" s="13"/>
    </row>
    <row r="938" hidden="1">
      <c r="C938" s="13"/>
      <c r="Q938" s="13"/>
    </row>
    <row r="939" hidden="1">
      <c r="C939" s="13"/>
      <c r="Q939" s="13"/>
    </row>
    <row r="940" hidden="1">
      <c r="C940" s="13"/>
      <c r="Q940" s="13"/>
    </row>
    <row r="941" hidden="1">
      <c r="C941" s="13"/>
      <c r="Q941" s="13"/>
    </row>
    <row r="942" hidden="1">
      <c r="C942" s="13"/>
      <c r="Q942" s="13"/>
    </row>
    <row r="943" hidden="1">
      <c r="C943" s="13"/>
      <c r="Q943" s="13"/>
    </row>
    <row r="944" hidden="1">
      <c r="C944" s="13"/>
      <c r="Q944" s="13"/>
    </row>
    <row r="945" hidden="1">
      <c r="C945" s="13"/>
      <c r="Q945" s="13"/>
    </row>
    <row r="946" hidden="1">
      <c r="C946" s="13"/>
      <c r="Q946" s="13"/>
    </row>
    <row r="947" hidden="1">
      <c r="C947" s="13"/>
      <c r="Q947" s="13"/>
    </row>
    <row r="948" hidden="1">
      <c r="C948" s="13"/>
      <c r="Q948" s="13"/>
    </row>
    <row r="949" hidden="1">
      <c r="C949" s="13"/>
      <c r="Q949" s="13"/>
    </row>
    <row r="950" hidden="1">
      <c r="C950" s="13"/>
      <c r="Q950" s="13"/>
    </row>
    <row r="951" hidden="1">
      <c r="C951" s="13"/>
      <c r="Q951" s="13"/>
    </row>
    <row r="952" hidden="1">
      <c r="C952" s="13"/>
      <c r="Q952" s="13"/>
    </row>
    <row r="953" hidden="1">
      <c r="C953" s="13"/>
      <c r="Q953" s="13"/>
    </row>
    <row r="954" hidden="1">
      <c r="C954" s="13"/>
      <c r="Q954" s="13"/>
    </row>
    <row r="955" hidden="1">
      <c r="C955" s="13"/>
      <c r="Q955" s="13"/>
    </row>
    <row r="956" hidden="1">
      <c r="C956" s="13"/>
      <c r="Q956" s="13"/>
    </row>
    <row r="957" hidden="1">
      <c r="C957" s="13"/>
      <c r="Q957" s="13"/>
    </row>
    <row r="958" hidden="1">
      <c r="C958" s="13"/>
      <c r="Q958" s="13"/>
    </row>
    <row r="959" hidden="1">
      <c r="C959" s="13"/>
      <c r="Q959" s="13"/>
    </row>
    <row r="960" hidden="1">
      <c r="C960" s="13"/>
      <c r="Q960" s="13"/>
    </row>
    <row r="961" hidden="1">
      <c r="C961" s="13"/>
      <c r="Q961" s="13"/>
    </row>
    <row r="962" hidden="1">
      <c r="C962" s="13"/>
      <c r="Q962" s="13"/>
    </row>
    <row r="963" hidden="1">
      <c r="C963" s="13"/>
      <c r="Q963" s="13"/>
    </row>
    <row r="964" hidden="1">
      <c r="C964" s="13"/>
      <c r="Q964" s="13"/>
    </row>
    <row r="965" hidden="1">
      <c r="C965" s="13"/>
      <c r="Q965" s="13"/>
    </row>
    <row r="966" hidden="1">
      <c r="C966" s="13"/>
      <c r="Q966" s="13"/>
    </row>
    <row r="967" hidden="1">
      <c r="C967" s="13"/>
      <c r="Q967" s="13"/>
    </row>
    <row r="968" hidden="1">
      <c r="C968" s="13"/>
      <c r="Q968" s="13"/>
    </row>
    <row r="969" hidden="1">
      <c r="C969" s="13"/>
      <c r="Q969" s="13"/>
    </row>
    <row r="970" hidden="1">
      <c r="C970" s="13"/>
      <c r="Q970" s="13"/>
    </row>
    <row r="971" hidden="1">
      <c r="C971" s="13"/>
      <c r="Q971" s="13"/>
    </row>
    <row r="972" hidden="1">
      <c r="C972" s="13"/>
      <c r="Q972" s="13"/>
    </row>
    <row r="973" hidden="1">
      <c r="C973" s="13"/>
      <c r="Q973" s="13"/>
    </row>
    <row r="974" hidden="1">
      <c r="C974" s="13"/>
      <c r="Q974" s="13"/>
    </row>
    <row r="975" hidden="1">
      <c r="C975" s="13"/>
      <c r="Q975" s="13"/>
    </row>
    <row r="976" hidden="1">
      <c r="C976" s="13"/>
      <c r="Q976" s="13"/>
    </row>
    <row r="977" hidden="1">
      <c r="C977" s="13"/>
      <c r="Q977" s="13"/>
    </row>
    <row r="978" hidden="1">
      <c r="C978" s="13"/>
      <c r="Q978" s="13"/>
    </row>
    <row r="979" hidden="1">
      <c r="C979" s="13"/>
      <c r="Q979" s="13"/>
    </row>
    <row r="980" hidden="1">
      <c r="C980" s="13"/>
      <c r="Q980" s="13"/>
    </row>
    <row r="981" hidden="1">
      <c r="C981" s="13"/>
      <c r="Q981" s="13"/>
    </row>
    <row r="982" hidden="1">
      <c r="C982" s="13"/>
      <c r="Q982" s="13"/>
    </row>
    <row r="983" hidden="1">
      <c r="C983" s="13"/>
      <c r="Q983" s="13"/>
    </row>
    <row r="984" hidden="1">
      <c r="C984" s="13"/>
      <c r="Q984" s="13"/>
    </row>
    <row r="985" hidden="1">
      <c r="C985" s="13"/>
      <c r="Q985" s="13"/>
    </row>
    <row r="986" hidden="1">
      <c r="C986" s="13"/>
      <c r="Q986" s="13"/>
    </row>
    <row r="987">
      <c r="C987" s="13"/>
      <c r="Q987" s="13"/>
    </row>
    <row r="988">
      <c r="C988" s="13"/>
      <c r="Q988" s="13"/>
    </row>
    <row r="989">
      <c r="C989" s="13"/>
      <c r="Q989" s="13"/>
    </row>
    <row r="990">
      <c r="C990" s="13"/>
      <c r="Q990" s="13"/>
    </row>
    <row r="991">
      <c r="C991" s="13"/>
      <c r="Q991" s="13"/>
    </row>
    <row r="992">
      <c r="C992" s="13"/>
      <c r="Q992" s="13"/>
    </row>
    <row r="993">
      <c r="C993" s="13"/>
      <c r="Q993" s="13"/>
    </row>
    <row r="994">
      <c r="C994" s="13"/>
      <c r="Q994" s="13"/>
    </row>
    <row r="995">
      <c r="C995" s="13"/>
      <c r="Q995" s="13"/>
    </row>
    <row r="996">
      <c r="C996" s="13"/>
      <c r="Q996" s="13"/>
    </row>
    <row r="997">
      <c r="C997" s="13"/>
      <c r="Q997" s="13"/>
    </row>
    <row r="998">
      <c r="C998" s="13"/>
      <c r="Q998" s="13"/>
    </row>
    <row r="999">
      <c r="C999" s="13"/>
      <c r="Q999" s="13"/>
    </row>
    <row r="1000">
      <c r="C1000" s="13"/>
      <c r="Q1000" s="13"/>
    </row>
    <row r="1001">
      <c r="C1001" s="13"/>
      <c r="Q1001" s="13"/>
    </row>
    <row r="1002">
      <c r="C1002" s="13"/>
      <c r="Q1002" s="13"/>
    </row>
    <row r="1003">
      <c r="C1003" s="13"/>
      <c r="Q1003" s="13"/>
    </row>
    <row r="1004">
      <c r="C1004" s="13"/>
      <c r="Q1004" s="13"/>
    </row>
    <row r="1005">
      <c r="C1005" s="13"/>
      <c r="Q1005" s="13"/>
    </row>
    <row r="1006">
      <c r="C1006" s="13"/>
      <c r="Q1006" s="13"/>
    </row>
    <row r="1007">
      <c r="C1007" s="13"/>
      <c r="Q1007" s="13"/>
    </row>
    <row r="1008">
      <c r="C1008" s="13"/>
      <c r="Q1008" s="13"/>
    </row>
    <row r="1009">
      <c r="C1009" s="13"/>
      <c r="Q1009" s="13"/>
    </row>
    <row r="1010">
      <c r="C1010" s="13"/>
      <c r="Q1010" s="13"/>
    </row>
    <row r="1011">
      <c r="C1011" s="13"/>
      <c r="Q1011" s="13"/>
    </row>
    <row r="1012">
      <c r="C1012" s="13"/>
      <c r="Q1012" s="13"/>
    </row>
    <row r="1013">
      <c r="C1013" s="13"/>
      <c r="Q1013" s="13"/>
    </row>
    <row r="1014">
      <c r="C1014" s="13"/>
      <c r="Q1014" s="13"/>
    </row>
    <row r="1015">
      <c r="C1015" s="13"/>
      <c r="Q1015" s="13"/>
    </row>
    <row r="1016">
      <c r="C1016" s="13"/>
      <c r="Q1016" s="13"/>
    </row>
    <row r="1017">
      <c r="C1017" s="13"/>
      <c r="Q1017" s="13"/>
    </row>
    <row r="1018">
      <c r="C1018" s="13"/>
      <c r="Q1018" s="13"/>
    </row>
    <row r="1019">
      <c r="C1019" s="13"/>
      <c r="Q1019" s="13"/>
    </row>
    <row r="1020">
      <c r="C1020" s="13"/>
      <c r="Q1020" s="13"/>
    </row>
    <row r="1021">
      <c r="C1021" s="13"/>
      <c r="Q1021" s="13"/>
    </row>
    <row r="1022">
      <c r="C1022" s="13"/>
      <c r="Q1022" s="13"/>
    </row>
    <row r="1023">
      <c r="C1023" s="13"/>
      <c r="Q1023" s="13"/>
    </row>
    <row r="1024">
      <c r="C1024" s="13"/>
      <c r="Q1024" s="13"/>
    </row>
    <row r="1025">
      <c r="C1025" s="13"/>
      <c r="Q1025" s="13"/>
    </row>
    <row r="1026">
      <c r="C1026" s="13"/>
      <c r="Q1026" s="13"/>
    </row>
    <row r="1027">
      <c r="C1027" s="13"/>
      <c r="Q1027" s="13"/>
    </row>
    <row r="1028">
      <c r="C1028" s="13"/>
      <c r="Q1028" s="13"/>
    </row>
    <row r="1029">
      <c r="C1029" s="13"/>
      <c r="Q1029" s="13"/>
    </row>
    <row r="1030">
      <c r="C1030" s="13"/>
      <c r="Q1030" s="13"/>
    </row>
    <row r="1031">
      <c r="C1031" s="13"/>
      <c r="Q1031" s="13"/>
    </row>
    <row r="1032">
      <c r="C1032" s="13"/>
      <c r="Q1032" s="13"/>
    </row>
    <row r="1033">
      <c r="C1033" s="13"/>
      <c r="Q1033" s="13"/>
    </row>
    <row r="1034">
      <c r="C1034" s="13"/>
      <c r="Q1034" s="13"/>
    </row>
    <row r="1035">
      <c r="C1035" s="13"/>
      <c r="Q1035" s="13"/>
    </row>
    <row r="1036">
      <c r="C1036" s="13"/>
      <c r="Q1036" s="13"/>
    </row>
    <row r="1037">
      <c r="C1037" s="13"/>
      <c r="Q1037" s="13"/>
    </row>
    <row r="1038">
      <c r="C1038" s="13"/>
      <c r="Q1038" s="13"/>
    </row>
    <row r="1039">
      <c r="C1039" s="13"/>
      <c r="Q1039" s="13"/>
    </row>
    <row r="1040">
      <c r="C1040" s="13"/>
      <c r="Q1040" s="13"/>
    </row>
    <row r="1041">
      <c r="C1041" s="13"/>
      <c r="Q1041" s="13"/>
    </row>
    <row r="1042">
      <c r="C1042" s="13"/>
      <c r="Q1042" s="13"/>
    </row>
    <row r="1043">
      <c r="C1043" s="13"/>
      <c r="Q1043" s="13"/>
    </row>
    <row r="1044">
      <c r="C1044" s="13"/>
      <c r="Q1044" s="13"/>
    </row>
    <row r="1045">
      <c r="C1045" s="13"/>
      <c r="Q1045" s="13"/>
    </row>
    <row r="1046">
      <c r="C1046" s="13"/>
      <c r="Q1046" s="13"/>
    </row>
    <row r="1047">
      <c r="C1047" s="13"/>
      <c r="Q1047" s="13"/>
    </row>
    <row r="1048">
      <c r="C1048" s="13"/>
      <c r="Q1048" s="13"/>
    </row>
    <row r="1049">
      <c r="C1049" s="13"/>
      <c r="Q1049" s="13"/>
    </row>
    <row r="1050">
      <c r="C1050" s="13"/>
      <c r="Q1050" s="13"/>
    </row>
    <row r="1051">
      <c r="C1051" s="13"/>
      <c r="Q1051" s="13"/>
    </row>
    <row r="1052">
      <c r="C1052" s="13"/>
      <c r="Q1052" s="13"/>
    </row>
    <row r="1053">
      <c r="C1053" s="13"/>
      <c r="Q1053" s="13"/>
    </row>
    <row r="1054">
      <c r="C1054" s="13"/>
      <c r="Q1054" s="13"/>
    </row>
    <row r="1055">
      <c r="C1055" s="13"/>
      <c r="Q1055" s="13"/>
    </row>
    <row r="1056">
      <c r="C1056" s="13"/>
      <c r="Q1056" s="13"/>
    </row>
    <row r="1057">
      <c r="C1057" s="13"/>
      <c r="Q1057" s="13"/>
    </row>
    <row r="1058">
      <c r="C1058" s="13"/>
      <c r="Q1058" s="13"/>
    </row>
    <row r="1059">
      <c r="C1059" s="13"/>
      <c r="Q1059" s="13"/>
    </row>
    <row r="1060">
      <c r="C1060" s="13"/>
      <c r="Q1060" s="13"/>
    </row>
    <row r="1061">
      <c r="C1061" s="13"/>
      <c r="Q1061" s="13"/>
    </row>
    <row r="1062">
      <c r="C1062" s="13"/>
      <c r="Q1062" s="13"/>
    </row>
    <row r="1063">
      <c r="C1063" s="13"/>
      <c r="Q1063" s="13"/>
    </row>
    <row r="1064">
      <c r="C1064" s="13"/>
      <c r="Q1064" s="13"/>
    </row>
    <row r="1065">
      <c r="C1065" s="13"/>
      <c r="Q1065" s="13"/>
    </row>
    <row r="1066">
      <c r="C1066" s="13"/>
      <c r="Q1066" s="13"/>
    </row>
    <row r="1067">
      <c r="C1067" s="13"/>
      <c r="Q1067" s="13"/>
    </row>
    <row r="1068">
      <c r="C1068" s="13"/>
      <c r="Q1068" s="13"/>
    </row>
    <row r="1069">
      <c r="C1069" s="13"/>
      <c r="Q1069" s="13"/>
    </row>
    <row r="1070">
      <c r="C1070" s="13"/>
      <c r="Q1070" s="13"/>
    </row>
    <row r="1071">
      <c r="C1071" s="13"/>
      <c r="Q1071" s="13"/>
    </row>
    <row r="1072">
      <c r="C1072" s="13"/>
      <c r="Q1072" s="13"/>
    </row>
    <row r="1073">
      <c r="C1073" s="13"/>
      <c r="Q1073" s="13"/>
    </row>
    <row r="1074">
      <c r="C1074" s="13"/>
      <c r="Q1074" s="13"/>
    </row>
    <row r="1075">
      <c r="C1075" s="13"/>
      <c r="Q1075" s="13"/>
    </row>
    <row r="1076">
      <c r="C1076" s="13"/>
      <c r="Q1076" s="13"/>
    </row>
    <row r="1077">
      <c r="C1077" s="13"/>
      <c r="Q1077" s="13"/>
    </row>
    <row r="1078">
      <c r="C1078" s="13"/>
      <c r="Q1078" s="13"/>
    </row>
    <row r="1079">
      <c r="C1079" s="13"/>
      <c r="Q1079" s="13"/>
    </row>
    <row r="1080">
      <c r="C1080" s="13"/>
      <c r="Q1080" s="13"/>
    </row>
    <row r="1081">
      <c r="C1081" s="13"/>
      <c r="Q1081" s="13"/>
    </row>
    <row r="1082">
      <c r="C1082" s="13"/>
      <c r="Q1082" s="13"/>
    </row>
    <row r="1083">
      <c r="C1083" s="13"/>
      <c r="Q1083" s="13"/>
    </row>
    <row r="1084">
      <c r="C1084" s="13"/>
      <c r="Q1084" s="13"/>
    </row>
    <row r="1085">
      <c r="C1085" s="13"/>
      <c r="Q1085" s="13"/>
    </row>
    <row r="1086">
      <c r="C1086" s="13"/>
      <c r="Q1086" s="13"/>
    </row>
    <row r="1087">
      <c r="C1087" s="13"/>
      <c r="Q1087" s="13"/>
    </row>
    <row r="1088">
      <c r="C1088" s="13"/>
      <c r="Q1088" s="13"/>
    </row>
    <row r="1089">
      <c r="C1089" s="13"/>
      <c r="Q1089" s="13"/>
    </row>
    <row r="1090">
      <c r="C1090" s="13"/>
      <c r="Q1090" s="13"/>
    </row>
    <row r="1091">
      <c r="C1091" s="13"/>
      <c r="Q1091" s="13"/>
    </row>
    <row r="1092">
      <c r="C1092" s="13"/>
      <c r="Q1092" s="13"/>
    </row>
    <row r="1093">
      <c r="C1093" s="13"/>
      <c r="Q1093" s="13"/>
    </row>
    <row r="1094">
      <c r="C1094" s="13"/>
      <c r="Q1094" s="13"/>
    </row>
    <row r="1095">
      <c r="C1095" s="13"/>
      <c r="Q1095" s="13"/>
    </row>
    <row r="1096">
      <c r="C1096" s="13"/>
      <c r="Q1096" s="13"/>
    </row>
    <row r="1097">
      <c r="C1097" s="13"/>
      <c r="Q1097" s="13"/>
    </row>
    <row r="1098">
      <c r="C1098" s="13"/>
      <c r="Q1098" s="13"/>
    </row>
    <row r="1099">
      <c r="C1099" s="13"/>
      <c r="Q1099" s="13"/>
    </row>
    <row r="1100">
      <c r="C1100" s="13"/>
      <c r="Q1100" s="13"/>
    </row>
    <row r="1101">
      <c r="C1101" s="13"/>
      <c r="Q1101" s="13"/>
    </row>
    <row r="1102">
      <c r="C1102" s="13"/>
      <c r="Q1102" s="13"/>
    </row>
    <row r="1103">
      <c r="C1103" s="13"/>
      <c r="Q1103" s="13"/>
    </row>
    <row r="1104">
      <c r="C1104" s="13"/>
      <c r="Q1104" s="13"/>
    </row>
    <row r="1105">
      <c r="C1105" s="13"/>
      <c r="Q1105" s="13"/>
    </row>
    <row r="1106">
      <c r="C1106" s="13"/>
      <c r="Q1106" s="13"/>
    </row>
    <row r="1107">
      <c r="C1107" s="13"/>
      <c r="Q1107" s="13"/>
    </row>
    <row r="1108">
      <c r="C1108" s="13"/>
      <c r="Q1108" s="13"/>
    </row>
    <row r="1109">
      <c r="C1109" s="13"/>
      <c r="Q1109" s="13"/>
    </row>
    <row r="1110">
      <c r="C1110" s="13"/>
      <c r="Q1110" s="13"/>
    </row>
    <row r="1111">
      <c r="C1111" s="13"/>
      <c r="Q1111" s="13"/>
    </row>
    <row r="1112">
      <c r="C1112" s="13"/>
      <c r="Q1112" s="13"/>
    </row>
    <row r="1113">
      <c r="C1113" s="13"/>
      <c r="Q1113" s="13"/>
    </row>
    <row r="1114">
      <c r="C1114" s="13"/>
      <c r="Q1114" s="13"/>
    </row>
    <row r="1115">
      <c r="C1115" s="13"/>
      <c r="Q1115" s="13"/>
    </row>
    <row r="1116">
      <c r="C1116" s="13"/>
      <c r="Q1116" s="13"/>
    </row>
    <row r="1117">
      <c r="C1117" s="13"/>
      <c r="Q1117" s="13"/>
    </row>
    <row r="1118">
      <c r="C1118" s="13"/>
      <c r="Q1118" s="13"/>
    </row>
    <row r="1119">
      <c r="C1119" s="13"/>
      <c r="Q1119" s="13"/>
    </row>
    <row r="1120">
      <c r="C1120" s="13"/>
      <c r="Q1120" s="13"/>
    </row>
    <row r="1121">
      <c r="C1121" s="13"/>
      <c r="Q1121" s="13"/>
    </row>
    <row r="1122">
      <c r="C1122" s="13"/>
      <c r="Q1122" s="13"/>
    </row>
    <row r="1123">
      <c r="C1123" s="13"/>
      <c r="Q1123" s="13"/>
    </row>
    <row r="1124">
      <c r="C1124" s="13"/>
      <c r="Q1124" s="13"/>
    </row>
    <row r="1125">
      <c r="C1125" s="13"/>
      <c r="Q1125" s="13"/>
    </row>
    <row r="1126">
      <c r="C1126" s="13"/>
      <c r="Q1126" s="13"/>
    </row>
    <row r="1127">
      <c r="C1127" s="13"/>
      <c r="Q1127" s="13"/>
    </row>
    <row r="1128">
      <c r="C1128" s="13"/>
      <c r="Q1128" s="13"/>
    </row>
    <row r="1129">
      <c r="C1129" s="13"/>
      <c r="Q1129" s="13"/>
    </row>
    <row r="1130">
      <c r="C1130" s="13"/>
      <c r="Q1130" s="13"/>
    </row>
    <row r="1131">
      <c r="C1131" s="13"/>
      <c r="Q1131" s="13"/>
    </row>
    <row r="1132">
      <c r="C1132" s="13"/>
      <c r="Q1132" s="13"/>
    </row>
    <row r="1133">
      <c r="C1133" s="13"/>
      <c r="Q1133" s="13"/>
    </row>
    <row r="1134">
      <c r="C1134" s="13"/>
      <c r="Q1134" s="13"/>
    </row>
    <row r="1135">
      <c r="C1135" s="13"/>
      <c r="Q1135" s="13"/>
    </row>
    <row r="1136">
      <c r="C1136" s="13"/>
      <c r="Q1136" s="13"/>
    </row>
    <row r="1137">
      <c r="C1137" s="13"/>
      <c r="Q1137" s="13"/>
    </row>
    <row r="1138">
      <c r="C1138" s="13"/>
      <c r="Q1138" s="13"/>
    </row>
    <row r="1139">
      <c r="C1139" s="13"/>
      <c r="Q1139" s="13"/>
    </row>
    <row r="1140">
      <c r="C1140" s="13"/>
      <c r="Q1140" s="13"/>
    </row>
    <row r="1141">
      <c r="C1141" s="13"/>
      <c r="Q1141" s="13"/>
    </row>
    <row r="1142">
      <c r="C1142" s="13"/>
      <c r="Q1142" s="13"/>
    </row>
    <row r="1143">
      <c r="C1143" s="13"/>
      <c r="Q1143" s="13"/>
    </row>
    <row r="1144">
      <c r="C1144" s="13"/>
      <c r="Q1144" s="13"/>
    </row>
    <row r="1145">
      <c r="C1145" s="13"/>
      <c r="Q1145" s="13"/>
    </row>
    <row r="1146">
      <c r="C1146" s="13"/>
      <c r="Q1146" s="13"/>
    </row>
    <row r="1147">
      <c r="C1147" s="13"/>
      <c r="Q1147" s="13"/>
    </row>
    <row r="1148">
      <c r="C1148" s="13"/>
      <c r="Q1148" s="13"/>
    </row>
    <row r="1149">
      <c r="C1149" s="13"/>
      <c r="Q1149" s="13"/>
    </row>
    <row r="1150">
      <c r="C1150" s="13"/>
      <c r="Q1150" s="13"/>
    </row>
    <row r="1151">
      <c r="C1151" s="13"/>
      <c r="Q1151" s="13"/>
    </row>
    <row r="1152">
      <c r="C1152" s="13"/>
      <c r="Q1152" s="13"/>
    </row>
    <row r="1153">
      <c r="C1153" s="13"/>
      <c r="Q1153" s="13"/>
    </row>
    <row r="1154">
      <c r="C1154" s="13"/>
      <c r="Q1154" s="13"/>
    </row>
    <row r="1155">
      <c r="C1155" s="13"/>
      <c r="Q1155" s="13"/>
    </row>
    <row r="1156">
      <c r="C1156" s="13"/>
      <c r="Q1156" s="13"/>
    </row>
    <row r="1157">
      <c r="C1157" s="13"/>
      <c r="Q1157" s="13"/>
    </row>
    <row r="1158">
      <c r="C1158" s="13"/>
      <c r="Q1158" s="13"/>
    </row>
    <row r="1159">
      <c r="C1159" s="13"/>
      <c r="Q1159" s="13"/>
    </row>
    <row r="1160">
      <c r="C1160" s="13"/>
      <c r="Q1160" s="13"/>
    </row>
    <row r="1161">
      <c r="C1161" s="13"/>
      <c r="Q1161" s="13"/>
    </row>
    <row r="1162">
      <c r="C1162" s="13"/>
      <c r="Q1162" s="13"/>
    </row>
    <row r="1163">
      <c r="C1163" s="13"/>
      <c r="Q1163" s="13"/>
    </row>
    <row r="1164">
      <c r="C1164" s="13"/>
      <c r="Q1164" s="13"/>
    </row>
    <row r="1165">
      <c r="C1165" s="13"/>
      <c r="Q1165" s="13"/>
    </row>
    <row r="1166">
      <c r="C1166" s="13"/>
      <c r="Q1166" s="13"/>
    </row>
    <row r="1167">
      <c r="C1167" s="13"/>
      <c r="Q1167" s="13"/>
    </row>
    <row r="1168">
      <c r="C1168" s="13"/>
      <c r="Q1168" s="13"/>
    </row>
    <row r="1169">
      <c r="C1169" s="13"/>
      <c r="Q1169" s="13"/>
    </row>
    <row r="1170">
      <c r="C1170" s="13"/>
      <c r="Q1170" s="13"/>
    </row>
    <row r="1171">
      <c r="C1171" s="13"/>
      <c r="Q1171" s="13"/>
    </row>
    <row r="1172">
      <c r="C1172" s="13"/>
      <c r="Q1172" s="13"/>
    </row>
    <row r="1173">
      <c r="C1173" s="13"/>
      <c r="Q1173" s="13"/>
    </row>
    <row r="1174">
      <c r="C1174" s="13"/>
      <c r="Q1174" s="13"/>
    </row>
    <row r="1175">
      <c r="C1175" s="13"/>
      <c r="Q1175" s="13"/>
    </row>
    <row r="1176">
      <c r="C1176" s="13"/>
      <c r="Q1176" s="13"/>
    </row>
    <row r="1177">
      <c r="C1177" s="13"/>
      <c r="Q1177" s="13"/>
    </row>
    <row r="1178">
      <c r="C1178" s="13"/>
      <c r="Q1178" s="13"/>
    </row>
    <row r="1179">
      <c r="C1179" s="13"/>
      <c r="Q1179" s="13"/>
    </row>
    <row r="1180">
      <c r="C1180" s="13"/>
      <c r="Q1180" s="13"/>
    </row>
    <row r="1181">
      <c r="C1181" s="13"/>
      <c r="Q1181" s="13"/>
    </row>
    <row r="1182">
      <c r="C1182" s="13"/>
      <c r="Q1182" s="13"/>
    </row>
    <row r="1183">
      <c r="C1183" s="13"/>
      <c r="Q1183" s="13"/>
    </row>
    <row r="1184">
      <c r="C1184" s="13"/>
      <c r="Q1184" s="13"/>
    </row>
    <row r="1185">
      <c r="C1185" s="13"/>
      <c r="Q1185" s="13"/>
    </row>
    <row r="1186">
      <c r="C1186" s="13"/>
      <c r="Q1186" s="13"/>
    </row>
    <row r="1187">
      <c r="C1187" s="13"/>
      <c r="Q1187" s="13"/>
    </row>
    <row r="1188">
      <c r="C1188" s="13"/>
      <c r="Q1188" s="13"/>
    </row>
    <row r="1189">
      <c r="C1189" s="13"/>
      <c r="Q1189" s="13"/>
    </row>
    <row r="1190">
      <c r="C1190" s="13"/>
      <c r="Q1190" s="13"/>
    </row>
    <row r="1191">
      <c r="C1191" s="13"/>
      <c r="Q1191" s="13"/>
    </row>
    <row r="1192">
      <c r="C1192" s="13"/>
      <c r="Q1192" s="13"/>
    </row>
    <row r="1193">
      <c r="C1193" s="13"/>
      <c r="Q1193" s="13"/>
    </row>
    <row r="1194">
      <c r="C1194" s="13"/>
      <c r="Q1194" s="13"/>
    </row>
    <row r="1195">
      <c r="C1195" s="13"/>
      <c r="Q1195" s="13"/>
    </row>
    <row r="1196">
      <c r="C1196" s="13"/>
      <c r="Q1196" s="13"/>
    </row>
    <row r="1197">
      <c r="C1197" s="13"/>
      <c r="Q1197" s="13"/>
    </row>
    <row r="1198">
      <c r="C1198" s="13"/>
      <c r="Q1198" s="13"/>
    </row>
    <row r="1199">
      <c r="C1199" s="13"/>
      <c r="Q1199" s="13"/>
    </row>
    <row r="1200">
      <c r="C1200" s="13"/>
      <c r="Q1200" s="13"/>
    </row>
    <row r="1201">
      <c r="C1201" s="13"/>
      <c r="Q1201" s="13"/>
    </row>
    <row r="1202">
      <c r="C1202" s="13"/>
      <c r="Q1202" s="13"/>
    </row>
    <row r="1203">
      <c r="C1203" s="13"/>
      <c r="Q1203" s="13"/>
    </row>
    <row r="1204">
      <c r="C1204" s="13"/>
      <c r="Q1204" s="13"/>
    </row>
    <row r="1205">
      <c r="C1205" s="13"/>
      <c r="Q1205" s="13"/>
    </row>
    <row r="1206">
      <c r="C1206" s="13"/>
      <c r="Q1206" s="13"/>
    </row>
    <row r="1207">
      <c r="C1207" s="13"/>
      <c r="Q1207" s="13"/>
    </row>
    <row r="1208">
      <c r="C1208" s="13"/>
      <c r="Q1208" s="13"/>
    </row>
    <row r="1209">
      <c r="C1209" s="13"/>
      <c r="Q1209" s="13"/>
    </row>
    <row r="1210">
      <c r="C1210" s="13"/>
      <c r="Q1210" s="13"/>
    </row>
    <row r="1211">
      <c r="C1211" s="13"/>
      <c r="Q1211" s="13"/>
    </row>
    <row r="1212">
      <c r="C1212" s="13"/>
      <c r="Q1212" s="13"/>
    </row>
    <row r="1213">
      <c r="C1213" s="13"/>
      <c r="Q1213" s="13"/>
    </row>
    <row r="1214">
      <c r="C1214" s="13"/>
      <c r="Q1214" s="13"/>
    </row>
    <row r="1215">
      <c r="C1215" s="13"/>
      <c r="Q1215" s="13"/>
    </row>
    <row r="1216">
      <c r="C1216" s="13"/>
      <c r="Q1216" s="13"/>
    </row>
    <row r="1217">
      <c r="C1217" s="13"/>
      <c r="Q1217" s="13"/>
    </row>
    <row r="1218">
      <c r="C1218" s="13"/>
      <c r="Q1218" s="13"/>
    </row>
    <row r="1219">
      <c r="C1219" s="13"/>
      <c r="Q1219" s="13"/>
    </row>
    <row r="1220">
      <c r="C1220" s="13"/>
      <c r="Q1220" s="13"/>
    </row>
    <row r="1221">
      <c r="C1221" s="13"/>
      <c r="Q1221" s="13"/>
    </row>
    <row r="1222">
      <c r="C1222" s="13"/>
      <c r="Q1222" s="13"/>
    </row>
    <row r="1223">
      <c r="C1223" s="13"/>
      <c r="Q1223" s="13"/>
    </row>
    <row r="1224">
      <c r="C1224" s="13"/>
      <c r="Q1224" s="13"/>
    </row>
    <row r="1225">
      <c r="C1225" s="13"/>
      <c r="Q1225" s="13"/>
    </row>
    <row r="1226">
      <c r="C1226" s="13"/>
      <c r="Q1226" s="13"/>
    </row>
    <row r="1227">
      <c r="C1227" s="13"/>
      <c r="Q1227" s="13"/>
    </row>
    <row r="1228">
      <c r="C1228" s="13"/>
      <c r="Q1228" s="13"/>
    </row>
    <row r="1229">
      <c r="C1229" s="13"/>
      <c r="Q1229" s="13"/>
    </row>
    <row r="1230">
      <c r="C1230" s="13"/>
      <c r="Q1230" s="13"/>
    </row>
    <row r="1231">
      <c r="C1231" s="13"/>
      <c r="Q1231" s="13"/>
    </row>
    <row r="1232">
      <c r="C1232" s="13"/>
      <c r="Q1232" s="13"/>
    </row>
    <row r="1233">
      <c r="C1233" s="13"/>
      <c r="Q1233" s="13"/>
    </row>
    <row r="1234">
      <c r="C1234" s="13"/>
      <c r="Q1234" s="13"/>
    </row>
    <row r="1235">
      <c r="C1235" s="13"/>
      <c r="Q1235" s="13"/>
    </row>
    <row r="1236">
      <c r="C1236" s="13"/>
      <c r="Q1236" s="13"/>
    </row>
    <row r="1237">
      <c r="C1237" s="13"/>
      <c r="Q1237" s="13"/>
    </row>
    <row r="1238">
      <c r="C1238" s="13"/>
      <c r="Q1238" s="13"/>
    </row>
    <row r="1239">
      <c r="C1239" s="13"/>
      <c r="Q1239" s="13"/>
    </row>
    <row r="1240">
      <c r="C1240" s="13"/>
      <c r="Q1240" s="13"/>
    </row>
    <row r="1241">
      <c r="C1241" s="13"/>
      <c r="Q1241" s="13"/>
    </row>
    <row r="1242">
      <c r="C1242" s="13"/>
      <c r="Q1242" s="13"/>
    </row>
    <row r="1243">
      <c r="C1243" s="13"/>
      <c r="Q1243" s="13"/>
    </row>
    <row r="1244">
      <c r="C1244" s="13"/>
      <c r="Q1244" s="13"/>
    </row>
    <row r="1245">
      <c r="C1245" s="13"/>
      <c r="Q1245" s="13"/>
    </row>
    <row r="1246">
      <c r="C1246" s="13"/>
      <c r="Q1246" s="13"/>
    </row>
    <row r="1247">
      <c r="C1247" s="13"/>
      <c r="Q1247" s="13"/>
    </row>
    <row r="1248">
      <c r="C1248" s="13"/>
      <c r="Q1248" s="13"/>
    </row>
    <row r="1249">
      <c r="C1249" s="13"/>
      <c r="Q1249" s="13"/>
    </row>
    <row r="1250">
      <c r="C1250" s="13"/>
      <c r="Q1250" s="13"/>
    </row>
    <row r="1251">
      <c r="C1251" s="13"/>
      <c r="Q1251" s="13"/>
    </row>
    <row r="1252">
      <c r="C1252" s="13"/>
      <c r="Q1252" s="13"/>
    </row>
    <row r="1253">
      <c r="C1253" s="13"/>
      <c r="Q1253" s="13"/>
    </row>
    <row r="1254">
      <c r="C1254" s="13"/>
      <c r="Q1254" s="13"/>
    </row>
    <row r="1255">
      <c r="C1255" s="13"/>
      <c r="Q1255" s="13"/>
    </row>
    <row r="1256">
      <c r="C1256" s="13"/>
      <c r="Q1256" s="13"/>
    </row>
    <row r="1257">
      <c r="C1257" s="13"/>
      <c r="Q1257" s="13"/>
    </row>
    <row r="1258">
      <c r="C1258" s="13"/>
      <c r="Q1258" s="13"/>
    </row>
    <row r="1259">
      <c r="C1259" s="13"/>
      <c r="Q1259" s="13"/>
    </row>
    <row r="1260">
      <c r="C1260" s="13"/>
      <c r="Q1260" s="13"/>
    </row>
    <row r="1261">
      <c r="C1261" s="13"/>
      <c r="Q1261" s="13"/>
    </row>
    <row r="1262">
      <c r="C1262" s="13"/>
      <c r="Q1262" s="13"/>
    </row>
    <row r="1263">
      <c r="C1263" s="13"/>
      <c r="Q1263" s="13"/>
    </row>
    <row r="1264">
      <c r="C1264" s="13"/>
      <c r="Q1264" s="13"/>
    </row>
    <row r="1265">
      <c r="C1265" s="13"/>
      <c r="Q1265" s="13"/>
    </row>
    <row r="1266">
      <c r="C1266" s="13"/>
      <c r="Q1266" s="13"/>
    </row>
    <row r="1267">
      <c r="C1267" s="13"/>
      <c r="Q1267" s="13"/>
    </row>
    <row r="1268">
      <c r="C1268" s="13"/>
      <c r="Q1268" s="13"/>
    </row>
    <row r="1269">
      <c r="C1269" s="13"/>
      <c r="Q1269" s="13"/>
    </row>
    <row r="1270">
      <c r="C1270" s="13"/>
      <c r="Q1270" s="13"/>
    </row>
    <row r="1271">
      <c r="C1271" s="13"/>
      <c r="Q1271" s="13"/>
    </row>
    <row r="1272">
      <c r="C1272" s="13"/>
      <c r="Q1272" s="13"/>
    </row>
    <row r="1273">
      <c r="C1273" s="13"/>
      <c r="Q1273" s="13"/>
    </row>
    <row r="1274">
      <c r="C1274" s="13"/>
      <c r="Q1274" s="13"/>
    </row>
    <row r="1275">
      <c r="C1275" s="13"/>
      <c r="Q1275" s="13"/>
    </row>
    <row r="1276">
      <c r="C1276" s="13"/>
      <c r="Q1276" s="13"/>
    </row>
    <row r="1277">
      <c r="C1277" s="13"/>
      <c r="Q1277" s="13"/>
    </row>
    <row r="1278">
      <c r="C1278" s="13"/>
      <c r="Q1278" s="13"/>
    </row>
    <row r="1279">
      <c r="C1279" s="13"/>
      <c r="Q1279" s="13"/>
    </row>
    <row r="1280">
      <c r="C1280" s="13"/>
      <c r="Q1280" s="13"/>
    </row>
    <row r="1281">
      <c r="C1281" s="13"/>
      <c r="Q1281" s="13"/>
    </row>
    <row r="1282">
      <c r="C1282" s="13"/>
      <c r="Q1282" s="13"/>
    </row>
    <row r="1283">
      <c r="C1283" s="13"/>
      <c r="Q1283" s="13"/>
    </row>
    <row r="1284">
      <c r="C1284" s="13"/>
      <c r="Q1284" s="13"/>
    </row>
    <row r="1285">
      <c r="C1285" s="13"/>
      <c r="Q1285" s="13"/>
    </row>
    <row r="1286">
      <c r="C1286" s="13"/>
      <c r="Q1286" s="13"/>
    </row>
    <row r="1287">
      <c r="C1287" s="13"/>
      <c r="Q1287" s="13"/>
    </row>
    <row r="1288">
      <c r="C1288" s="13"/>
      <c r="Q1288" s="13"/>
    </row>
    <row r="1289">
      <c r="C1289" s="13"/>
      <c r="Q1289" s="13"/>
    </row>
    <row r="1290">
      <c r="C1290" s="13"/>
      <c r="Q1290" s="13"/>
    </row>
    <row r="1291">
      <c r="C1291" s="13"/>
      <c r="Q1291" s="13"/>
    </row>
    <row r="1292">
      <c r="C1292" s="13"/>
      <c r="Q1292" s="13"/>
    </row>
    <row r="1293">
      <c r="C1293" s="13"/>
      <c r="Q1293" s="13"/>
    </row>
    <row r="1294">
      <c r="C1294" s="13"/>
      <c r="Q1294" s="13"/>
    </row>
    <row r="1295">
      <c r="C1295" s="13"/>
      <c r="Q1295" s="13"/>
    </row>
    <row r="1296">
      <c r="C1296" s="13"/>
      <c r="Q1296" s="13"/>
    </row>
    <row r="1297">
      <c r="C1297" s="13"/>
      <c r="Q1297" s="13"/>
    </row>
    <row r="1298">
      <c r="C1298" s="13"/>
      <c r="Q1298" s="13"/>
    </row>
    <row r="1299">
      <c r="C1299" s="13"/>
      <c r="Q1299" s="13"/>
    </row>
    <row r="1300">
      <c r="C1300" s="13"/>
      <c r="Q1300" s="13"/>
    </row>
    <row r="1301">
      <c r="C1301" s="13"/>
      <c r="Q1301" s="13"/>
    </row>
    <row r="1302">
      <c r="C1302" s="13"/>
      <c r="Q1302" s="13"/>
    </row>
    <row r="1303">
      <c r="C1303" s="13"/>
      <c r="Q1303" s="13"/>
    </row>
    <row r="1304">
      <c r="C1304" s="13"/>
      <c r="Q1304" s="13"/>
    </row>
    <row r="1305">
      <c r="C1305" s="13"/>
      <c r="Q1305" s="13"/>
    </row>
    <row r="1306">
      <c r="C1306" s="13"/>
      <c r="Q1306" s="13"/>
    </row>
    <row r="1307">
      <c r="C1307" s="13"/>
      <c r="Q1307" s="13"/>
    </row>
    <row r="1308">
      <c r="C1308" s="13"/>
      <c r="Q1308" s="13"/>
    </row>
    <row r="1309">
      <c r="C1309" s="13"/>
      <c r="Q1309" s="13"/>
    </row>
    <row r="1310">
      <c r="C1310" s="13"/>
      <c r="Q1310" s="13"/>
    </row>
    <row r="1311">
      <c r="C1311" s="13"/>
      <c r="Q1311" s="13"/>
    </row>
    <row r="1312">
      <c r="C1312" s="13"/>
      <c r="Q1312" s="13"/>
    </row>
    <row r="1313">
      <c r="C1313" s="13"/>
      <c r="Q1313" s="13"/>
    </row>
    <row r="1314">
      <c r="C1314" s="13"/>
      <c r="Q1314" s="13"/>
    </row>
    <row r="1315">
      <c r="C1315" s="13"/>
      <c r="Q1315" s="13"/>
    </row>
    <row r="1316">
      <c r="C1316" s="13"/>
      <c r="Q1316" s="13"/>
    </row>
    <row r="1317">
      <c r="C1317" s="13"/>
      <c r="Q1317" s="13"/>
    </row>
    <row r="1318">
      <c r="C1318" s="13"/>
      <c r="Q1318" s="13"/>
    </row>
    <row r="1319">
      <c r="C1319" s="13"/>
      <c r="Q1319" s="13"/>
    </row>
    <row r="1320">
      <c r="C1320" s="13"/>
      <c r="Q1320" s="13"/>
    </row>
    <row r="1321">
      <c r="C1321" s="13"/>
      <c r="Q1321" s="13"/>
    </row>
    <row r="1322">
      <c r="C1322" s="13"/>
      <c r="Q1322" s="13"/>
    </row>
    <row r="1323">
      <c r="C1323" s="13"/>
      <c r="Q1323" s="13"/>
    </row>
    <row r="1324">
      <c r="C1324" s="13"/>
      <c r="Q1324" s="13"/>
    </row>
    <row r="1325">
      <c r="C1325" s="13"/>
      <c r="Q1325" s="13"/>
    </row>
    <row r="1326">
      <c r="C1326" s="13"/>
      <c r="Q1326" s="13"/>
    </row>
    <row r="1327">
      <c r="C1327" s="13"/>
      <c r="Q1327" s="13"/>
    </row>
    <row r="1328">
      <c r="C1328" s="13"/>
      <c r="Q1328" s="13"/>
    </row>
    <row r="1329">
      <c r="C1329" s="13"/>
      <c r="Q1329" s="13"/>
    </row>
    <row r="1330">
      <c r="C1330" s="13"/>
      <c r="Q1330" s="13"/>
    </row>
    <row r="1331">
      <c r="C1331" s="13"/>
      <c r="Q1331" s="13"/>
    </row>
    <row r="1332">
      <c r="C1332" s="13"/>
      <c r="Q1332" s="13"/>
    </row>
    <row r="1333">
      <c r="C1333" s="13"/>
      <c r="Q1333" s="13"/>
    </row>
    <row r="1334">
      <c r="C1334" s="13"/>
      <c r="Q1334" s="13"/>
    </row>
    <row r="1335">
      <c r="C1335" s="13"/>
      <c r="Q1335" s="13"/>
    </row>
    <row r="1336">
      <c r="C1336" s="13"/>
      <c r="Q1336" s="13"/>
    </row>
    <row r="1337">
      <c r="C1337" s="13"/>
      <c r="Q1337" s="13"/>
    </row>
    <row r="1338">
      <c r="C1338" s="13"/>
      <c r="Q1338" s="13"/>
    </row>
    <row r="1339">
      <c r="C1339" s="13"/>
      <c r="Q1339" s="13"/>
    </row>
    <row r="1340">
      <c r="C1340" s="13"/>
      <c r="Q1340" s="13"/>
    </row>
    <row r="1341">
      <c r="C1341" s="13"/>
      <c r="Q1341" s="13"/>
    </row>
    <row r="1342">
      <c r="C1342" s="13"/>
      <c r="Q1342" s="13"/>
    </row>
    <row r="1343">
      <c r="C1343" s="13"/>
      <c r="Q1343" s="13"/>
    </row>
    <row r="1344">
      <c r="C1344" s="13"/>
      <c r="Q1344" s="13"/>
    </row>
    <row r="1345">
      <c r="C1345" s="13"/>
      <c r="Q1345" s="13"/>
    </row>
    <row r="1346">
      <c r="C1346" s="13"/>
      <c r="Q1346" s="13"/>
    </row>
    <row r="1347">
      <c r="C1347" s="13"/>
      <c r="Q1347" s="13"/>
    </row>
    <row r="1348">
      <c r="C1348" s="13"/>
      <c r="Q1348" s="13"/>
    </row>
    <row r="1349">
      <c r="C1349" s="13"/>
      <c r="Q1349" s="13"/>
    </row>
    <row r="1350">
      <c r="C1350" s="13"/>
      <c r="Q1350" s="13"/>
    </row>
    <row r="1351">
      <c r="C1351" s="13"/>
      <c r="Q1351" s="13"/>
    </row>
    <row r="1352">
      <c r="C1352" s="13"/>
      <c r="Q1352" s="13"/>
    </row>
    <row r="1353">
      <c r="C1353" s="13"/>
      <c r="Q1353" s="13"/>
    </row>
    <row r="1354">
      <c r="C1354" s="13"/>
      <c r="Q1354" s="13"/>
    </row>
    <row r="1355">
      <c r="C1355" s="13"/>
      <c r="Q1355" s="13"/>
    </row>
    <row r="1356">
      <c r="C1356" s="13"/>
      <c r="Q1356" s="13"/>
    </row>
    <row r="1357">
      <c r="C1357" s="13"/>
      <c r="Q1357" s="13"/>
    </row>
    <row r="1358">
      <c r="C1358" s="13"/>
      <c r="Q1358" s="13"/>
    </row>
    <row r="1359">
      <c r="C1359" s="13"/>
      <c r="Q1359" s="13"/>
    </row>
    <row r="1360">
      <c r="C1360" s="13"/>
      <c r="Q1360" s="13"/>
    </row>
    <row r="1361">
      <c r="C1361" s="13"/>
      <c r="Q1361" s="13"/>
    </row>
    <row r="1362">
      <c r="C1362" s="13"/>
      <c r="Q1362" s="13"/>
    </row>
    <row r="1363">
      <c r="C1363" s="13"/>
      <c r="Q1363" s="13"/>
    </row>
    <row r="1364">
      <c r="C1364" s="13"/>
      <c r="Q1364" s="13"/>
    </row>
    <row r="1365">
      <c r="C1365" s="13"/>
      <c r="Q1365" s="13"/>
    </row>
    <row r="1366">
      <c r="C1366" s="13"/>
      <c r="Q1366" s="13"/>
    </row>
    <row r="1367">
      <c r="C1367" s="13"/>
      <c r="Q1367" s="13"/>
    </row>
    <row r="1368">
      <c r="C1368" s="13"/>
      <c r="Q1368" s="13"/>
    </row>
    <row r="1369">
      <c r="C1369" s="13"/>
      <c r="Q1369" s="13"/>
    </row>
    <row r="1370">
      <c r="C1370" s="13"/>
      <c r="Q1370" s="13"/>
    </row>
    <row r="1371">
      <c r="C1371" s="13"/>
      <c r="Q1371" s="13"/>
    </row>
    <row r="1372">
      <c r="C1372" s="13"/>
      <c r="Q1372" s="13"/>
    </row>
    <row r="1373">
      <c r="C1373" s="13"/>
      <c r="Q1373" s="13"/>
    </row>
    <row r="1374">
      <c r="C1374" s="13"/>
      <c r="Q1374" s="13"/>
    </row>
    <row r="1375">
      <c r="C1375" s="13"/>
      <c r="Q1375" s="13"/>
    </row>
    <row r="1376">
      <c r="C1376" s="13"/>
      <c r="Q1376" s="13"/>
    </row>
    <row r="1377">
      <c r="C1377" s="13"/>
      <c r="Q1377" s="13"/>
    </row>
    <row r="1378">
      <c r="C1378" s="13"/>
      <c r="Q1378" s="13"/>
    </row>
    <row r="1379">
      <c r="C1379" s="13"/>
      <c r="Q1379" s="13"/>
    </row>
    <row r="1380">
      <c r="C1380" s="13"/>
      <c r="Q1380" s="13"/>
    </row>
    <row r="1381">
      <c r="C1381" s="13"/>
      <c r="Q1381" s="13"/>
    </row>
    <row r="1382">
      <c r="C1382" s="13"/>
      <c r="Q1382" s="13"/>
    </row>
    <row r="1383">
      <c r="C1383" s="13"/>
      <c r="Q1383" s="13"/>
    </row>
    <row r="1384">
      <c r="C1384" s="13"/>
      <c r="Q1384" s="13"/>
    </row>
    <row r="1385">
      <c r="C1385" s="13"/>
      <c r="Q1385" s="13"/>
    </row>
    <row r="1386">
      <c r="C1386" s="13"/>
      <c r="Q1386" s="13"/>
    </row>
    <row r="1387">
      <c r="C1387" s="13"/>
      <c r="Q1387" s="13"/>
    </row>
    <row r="1388">
      <c r="C1388" s="13"/>
      <c r="Q1388" s="13"/>
    </row>
    <row r="1389">
      <c r="C1389" s="13"/>
      <c r="Q1389" s="13"/>
    </row>
    <row r="1390">
      <c r="C1390" s="13"/>
      <c r="Q1390" s="13"/>
    </row>
    <row r="1391">
      <c r="C1391" s="13"/>
      <c r="Q1391" s="13"/>
    </row>
    <row r="1392">
      <c r="C1392" s="13"/>
      <c r="Q1392" s="13"/>
    </row>
    <row r="1393">
      <c r="C1393" s="13"/>
      <c r="Q1393" s="13"/>
    </row>
    <row r="1394">
      <c r="C1394" s="13"/>
      <c r="Q1394" s="13"/>
    </row>
    <row r="1395">
      <c r="C1395" s="13"/>
      <c r="Q1395" s="13"/>
    </row>
    <row r="1396">
      <c r="C1396" s="13"/>
      <c r="Q1396" s="13"/>
    </row>
    <row r="1397">
      <c r="C1397" s="13"/>
      <c r="Q1397" s="13"/>
    </row>
    <row r="1398">
      <c r="C1398" s="13"/>
      <c r="Q1398" s="13"/>
    </row>
    <row r="1399">
      <c r="C1399" s="13"/>
      <c r="Q1399" s="13"/>
    </row>
    <row r="1400">
      <c r="C1400" s="13"/>
      <c r="Q1400" s="13"/>
    </row>
    <row r="1401">
      <c r="C1401" s="13"/>
      <c r="Q1401" s="13"/>
    </row>
    <row r="1402">
      <c r="C1402" s="13"/>
      <c r="Q1402" s="13"/>
    </row>
    <row r="1403">
      <c r="C1403" s="13"/>
      <c r="Q1403" s="13"/>
    </row>
    <row r="1404">
      <c r="C1404" s="13"/>
      <c r="Q1404" s="13"/>
    </row>
    <row r="1405">
      <c r="C1405" s="13"/>
      <c r="Q1405" s="13"/>
    </row>
    <row r="1406">
      <c r="C1406" s="13"/>
      <c r="Q1406" s="13"/>
    </row>
    <row r="1407">
      <c r="C1407" s="13"/>
      <c r="Q1407" s="13"/>
    </row>
    <row r="1408">
      <c r="C1408" s="13"/>
      <c r="Q1408" s="13"/>
    </row>
    <row r="1409">
      <c r="C1409" s="13"/>
      <c r="Q1409" s="13"/>
    </row>
    <row r="1410">
      <c r="C1410" s="13"/>
      <c r="Q1410" s="13"/>
    </row>
    <row r="1411">
      <c r="C1411" s="13"/>
      <c r="Q1411" s="13"/>
    </row>
    <row r="1412">
      <c r="C1412" s="13"/>
      <c r="Q1412" s="13"/>
    </row>
    <row r="1413">
      <c r="C1413" s="13"/>
      <c r="Q1413" s="13"/>
    </row>
    <row r="1414">
      <c r="C1414" s="13"/>
      <c r="Q1414" s="13"/>
    </row>
    <row r="1415">
      <c r="C1415" s="13"/>
      <c r="Q1415" s="13"/>
    </row>
    <row r="1416">
      <c r="C1416" s="13"/>
      <c r="Q1416" s="13"/>
    </row>
    <row r="1417">
      <c r="C1417" s="13"/>
      <c r="Q1417" s="13"/>
    </row>
    <row r="1418">
      <c r="C1418" s="13"/>
      <c r="Q1418" s="13"/>
    </row>
    <row r="1419">
      <c r="C1419" s="13"/>
      <c r="Q1419" s="13"/>
    </row>
    <row r="1420">
      <c r="C1420" s="13"/>
      <c r="Q1420" s="13"/>
    </row>
    <row r="1421">
      <c r="C1421" s="13"/>
      <c r="Q1421" s="13"/>
    </row>
    <row r="1422">
      <c r="C1422" s="13"/>
      <c r="Q1422" s="13"/>
    </row>
    <row r="1423">
      <c r="C1423" s="13"/>
      <c r="Q1423" s="13"/>
    </row>
    <row r="1424">
      <c r="C1424" s="13"/>
      <c r="Q1424" s="13"/>
    </row>
    <row r="1425">
      <c r="C1425" s="13"/>
      <c r="Q1425" s="13"/>
    </row>
    <row r="1426">
      <c r="C1426" s="13"/>
      <c r="Q1426" s="13"/>
    </row>
    <row r="1427">
      <c r="C1427" s="13"/>
      <c r="Q1427" s="13"/>
    </row>
    <row r="1428">
      <c r="C1428" s="13"/>
      <c r="Q1428" s="13"/>
    </row>
    <row r="1429">
      <c r="C1429" s="13"/>
      <c r="Q1429" s="13"/>
    </row>
    <row r="1430">
      <c r="C1430" s="13"/>
      <c r="Q1430" s="13"/>
    </row>
    <row r="1431">
      <c r="C1431" s="13"/>
      <c r="Q1431" s="13"/>
    </row>
    <row r="1432">
      <c r="C1432" s="13"/>
      <c r="Q1432" s="13"/>
    </row>
    <row r="1433">
      <c r="C1433" s="13"/>
      <c r="Q1433" s="13"/>
    </row>
    <row r="1434">
      <c r="C1434" s="13"/>
      <c r="Q1434" s="13"/>
    </row>
    <row r="1435">
      <c r="C1435" s="13"/>
      <c r="Q1435" s="13"/>
    </row>
    <row r="1436">
      <c r="C1436" s="13"/>
      <c r="Q1436" s="13"/>
    </row>
    <row r="1437">
      <c r="C1437" s="13"/>
      <c r="Q1437" s="13"/>
    </row>
    <row r="1438">
      <c r="C1438" s="13"/>
      <c r="Q1438" s="13"/>
    </row>
    <row r="1439">
      <c r="C1439" s="13"/>
      <c r="Q1439" s="13"/>
    </row>
    <row r="1440">
      <c r="C1440" s="13"/>
      <c r="Q1440" s="13"/>
    </row>
    <row r="1441">
      <c r="C1441" s="13"/>
      <c r="Q1441" s="13"/>
    </row>
    <row r="1442">
      <c r="C1442" s="13"/>
      <c r="Q1442" s="13"/>
    </row>
    <row r="1443">
      <c r="C1443" s="13"/>
      <c r="Q1443" s="13"/>
    </row>
    <row r="1444">
      <c r="C1444" s="13"/>
      <c r="Q1444" s="13"/>
    </row>
    <row r="1445">
      <c r="C1445" s="13"/>
      <c r="Q1445" s="13"/>
    </row>
    <row r="1446">
      <c r="C1446" s="13"/>
      <c r="Q1446" s="13"/>
    </row>
    <row r="1447">
      <c r="C1447" s="13"/>
      <c r="Q1447" s="13"/>
    </row>
    <row r="1448">
      <c r="C1448" s="13"/>
      <c r="Q1448" s="13"/>
    </row>
    <row r="1449">
      <c r="C1449" s="13"/>
      <c r="Q1449" s="13"/>
    </row>
    <row r="1450">
      <c r="C1450" s="13"/>
      <c r="Q1450" s="13"/>
    </row>
    <row r="1451">
      <c r="C1451" s="13"/>
      <c r="Q1451" s="13"/>
    </row>
    <row r="1452">
      <c r="C1452" s="13"/>
      <c r="Q1452" s="13"/>
    </row>
    <row r="1453">
      <c r="C1453" s="13"/>
      <c r="Q1453" s="13"/>
    </row>
    <row r="1454">
      <c r="C1454" s="13"/>
      <c r="Q1454" s="13"/>
    </row>
    <row r="1455">
      <c r="C1455" s="13"/>
      <c r="Q1455" s="13"/>
    </row>
    <row r="1456">
      <c r="C1456" s="13"/>
      <c r="Q1456" s="13"/>
    </row>
    <row r="1457">
      <c r="C1457" s="13"/>
      <c r="Q1457" s="13"/>
    </row>
    <row r="1458">
      <c r="C1458" s="13"/>
      <c r="Q1458" s="13"/>
    </row>
    <row r="1459">
      <c r="C1459" s="13"/>
      <c r="Q1459" s="13"/>
    </row>
    <row r="1460">
      <c r="C1460" s="13"/>
      <c r="Q1460" s="13"/>
    </row>
    <row r="1461">
      <c r="C1461" s="13"/>
      <c r="Q1461" s="13"/>
    </row>
    <row r="1462">
      <c r="C1462" s="13"/>
      <c r="Q1462" s="13"/>
    </row>
    <row r="1463">
      <c r="C1463" s="13"/>
      <c r="Q1463" s="13"/>
    </row>
    <row r="1464">
      <c r="C1464" s="13"/>
      <c r="Q1464" s="13"/>
    </row>
    <row r="1465">
      <c r="C1465" s="13"/>
      <c r="Q1465" s="13"/>
    </row>
    <row r="1466">
      <c r="C1466" s="13"/>
      <c r="Q1466" s="13"/>
    </row>
    <row r="1467">
      <c r="C1467" s="13"/>
      <c r="Q1467" s="13"/>
    </row>
    <row r="1468">
      <c r="C1468" s="13"/>
      <c r="Q1468" s="13"/>
    </row>
    <row r="1469">
      <c r="C1469" s="13"/>
      <c r="Q1469" s="13"/>
    </row>
    <row r="1470">
      <c r="C1470" s="13"/>
      <c r="Q1470" s="13"/>
    </row>
    <row r="1471">
      <c r="C1471" s="13"/>
      <c r="Q1471" s="13"/>
    </row>
    <row r="1472">
      <c r="C1472" s="13"/>
      <c r="Q1472" s="13"/>
    </row>
    <row r="1473">
      <c r="C1473" s="13"/>
      <c r="Q1473" s="13"/>
    </row>
    <row r="1474">
      <c r="C1474" s="13"/>
      <c r="Q1474" s="13"/>
    </row>
    <row r="1475">
      <c r="C1475" s="13"/>
      <c r="Q1475" s="13"/>
    </row>
    <row r="1476">
      <c r="C1476" s="13"/>
      <c r="Q1476" s="13"/>
    </row>
    <row r="1477">
      <c r="C1477" s="13"/>
      <c r="Q1477" s="13"/>
    </row>
    <row r="1478">
      <c r="C1478" s="13"/>
      <c r="Q1478" s="13"/>
    </row>
    <row r="1479">
      <c r="C1479" s="13"/>
      <c r="Q1479" s="13"/>
    </row>
    <row r="1480">
      <c r="C1480" s="13"/>
      <c r="Q1480" s="13"/>
    </row>
    <row r="1481">
      <c r="C1481" s="13"/>
      <c r="Q1481" s="13"/>
    </row>
    <row r="1482">
      <c r="C1482" s="13"/>
      <c r="Q1482" s="13"/>
    </row>
    <row r="1483">
      <c r="C1483" s="13"/>
      <c r="Q1483" s="13"/>
    </row>
    <row r="1484">
      <c r="C1484" s="13"/>
      <c r="Q1484" s="13"/>
    </row>
    <row r="1485">
      <c r="C1485" s="13"/>
      <c r="Q1485" s="13"/>
    </row>
    <row r="1486">
      <c r="C1486" s="13"/>
      <c r="Q1486" s="13"/>
    </row>
    <row r="1487">
      <c r="C1487" s="13"/>
      <c r="Q1487" s="13"/>
    </row>
    <row r="1488">
      <c r="C1488" s="13"/>
      <c r="Q1488" s="13"/>
    </row>
    <row r="1489">
      <c r="C1489" s="13"/>
      <c r="Q1489" s="13"/>
    </row>
    <row r="1490">
      <c r="C1490" s="13"/>
      <c r="Q1490" s="13"/>
    </row>
    <row r="1491">
      <c r="C1491" s="13"/>
      <c r="Q1491" s="13"/>
    </row>
    <row r="1492">
      <c r="C1492" s="13"/>
      <c r="Q1492" s="13"/>
    </row>
    <row r="1493">
      <c r="C1493" s="13"/>
      <c r="Q1493" s="13"/>
    </row>
    <row r="1494">
      <c r="C1494" s="13"/>
      <c r="Q1494" s="13"/>
    </row>
    <row r="1495">
      <c r="C1495" s="13"/>
      <c r="Q1495" s="13"/>
    </row>
    <row r="1496">
      <c r="C1496" s="13"/>
      <c r="Q1496" s="13"/>
    </row>
    <row r="1497">
      <c r="C1497" s="13"/>
      <c r="Q1497" s="13"/>
    </row>
    <row r="1498">
      <c r="C1498" s="13"/>
      <c r="Q1498" s="13"/>
    </row>
    <row r="1499">
      <c r="C1499" s="13"/>
      <c r="Q1499" s="13"/>
    </row>
    <row r="1500">
      <c r="C1500" s="13"/>
      <c r="Q1500" s="13"/>
    </row>
    <row r="1501">
      <c r="C1501" s="13"/>
      <c r="Q1501" s="13"/>
    </row>
    <row r="1502">
      <c r="C1502" s="13"/>
      <c r="Q1502" s="13"/>
    </row>
    <row r="1503">
      <c r="C1503" s="13"/>
      <c r="Q1503" s="13"/>
    </row>
    <row r="1504">
      <c r="C1504" s="13"/>
      <c r="Q1504" s="13"/>
    </row>
    <row r="1505">
      <c r="C1505" s="13"/>
      <c r="Q1505" s="13"/>
    </row>
    <row r="1506">
      <c r="C1506" s="13"/>
      <c r="Q1506" s="13"/>
    </row>
    <row r="1507">
      <c r="C1507" s="13"/>
      <c r="Q1507" s="13"/>
    </row>
    <row r="1508">
      <c r="C1508" s="13"/>
      <c r="Q1508" s="13"/>
    </row>
    <row r="1509">
      <c r="C1509" s="13"/>
      <c r="Q1509" s="13"/>
    </row>
    <row r="1510">
      <c r="C1510" s="13"/>
      <c r="Q1510" s="13"/>
    </row>
    <row r="1511">
      <c r="C1511" s="13"/>
      <c r="Q1511" s="13"/>
    </row>
    <row r="1512">
      <c r="C1512" s="13"/>
      <c r="Q1512" s="13"/>
    </row>
    <row r="1513">
      <c r="C1513" s="13"/>
      <c r="Q1513" s="13"/>
    </row>
    <row r="1514">
      <c r="C1514" s="13"/>
      <c r="Q1514" s="13"/>
    </row>
    <row r="1515">
      <c r="C1515" s="13"/>
      <c r="Q1515" s="13"/>
    </row>
    <row r="1516">
      <c r="C1516" s="13"/>
      <c r="Q1516" s="13"/>
    </row>
    <row r="1517">
      <c r="C1517" s="13"/>
      <c r="Q1517" s="13"/>
    </row>
    <row r="1518">
      <c r="C1518" s="13"/>
      <c r="Q1518" s="13"/>
    </row>
    <row r="1519">
      <c r="C1519" s="13"/>
      <c r="Q1519" s="13"/>
    </row>
    <row r="1520">
      <c r="C1520" s="13"/>
      <c r="Q1520" s="13"/>
    </row>
    <row r="1521">
      <c r="C1521" s="13"/>
      <c r="Q1521" s="13"/>
    </row>
    <row r="1522">
      <c r="C1522" s="13"/>
      <c r="Q1522" s="13"/>
    </row>
    <row r="1523">
      <c r="C1523" s="13"/>
      <c r="Q1523" s="13"/>
    </row>
    <row r="1524">
      <c r="C1524" s="13"/>
      <c r="Q1524" s="13"/>
    </row>
    <row r="1525">
      <c r="C1525" s="13"/>
      <c r="Q1525" s="13"/>
    </row>
    <row r="1526">
      <c r="C1526" s="13"/>
      <c r="Q1526" s="13"/>
    </row>
    <row r="1527">
      <c r="C1527" s="13"/>
      <c r="Q1527" s="13"/>
    </row>
    <row r="1528">
      <c r="C1528" s="13"/>
      <c r="Q1528" s="13"/>
    </row>
    <row r="1529">
      <c r="C1529" s="13"/>
      <c r="Q1529" s="13"/>
    </row>
    <row r="1530">
      <c r="C1530" s="13"/>
      <c r="Q1530" s="13"/>
    </row>
    <row r="1531">
      <c r="C1531" s="13"/>
      <c r="Q1531" s="13"/>
    </row>
    <row r="1532">
      <c r="C1532" s="13"/>
      <c r="Q1532" s="13"/>
    </row>
    <row r="1533">
      <c r="C1533" s="13"/>
      <c r="Q1533" s="13"/>
    </row>
    <row r="1534">
      <c r="C1534" s="13"/>
      <c r="Q1534" s="13"/>
    </row>
    <row r="1535">
      <c r="C1535" s="13"/>
      <c r="Q1535" s="13"/>
    </row>
    <row r="1536">
      <c r="C1536" s="13"/>
      <c r="Q1536" s="13"/>
    </row>
    <row r="1537">
      <c r="C1537" s="13"/>
      <c r="Q1537" s="13"/>
    </row>
    <row r="1538">
      <c r="C1538" s="13"/>
      <c r="Q1538" s="13"/>
    </row>
    <row r="1539">
      <c r="C1539" s="13"/>
      <c r="Q1539" s="13"/>
    </row>
    <row r="1540">
      <c r="C1540" s="13"/>
      <c r="Q1540" s="13"/>
    </row>
    <row r="1541">
      <c r="C1541" s="13"/>
      <c r="Q1541" s="13"/>
    </row>
    <row r="1542">
      <c r="C1542" s="13"/>
      <c r="Q1542" s="13"/>
    </row>
    <row r="1543">
      <c r="C1543" s="13"/>
      <c r="Q1543" s="13"/>
    </row>
    <row r="1544">
      <c r="C1544" s="13"/>
      <c r="Q1544" s="13"/>
    </row>
    <row r="1545">
      <c r="C1545" s="13"/>
      <c r="Q1545" s="13"/>
    </row>
    <row r="1546">
      <c r="C1546" s="13"/>
      <c r="Q1546" s="13"/>
    </row>
    <row r="1547">
      <c r="C1547" s="13"/>
      <c r="Q1547" s="13"/>
    </row>
    <row r="1548">
      <c r="C1548" s="13"/>
      <c r="Q1548" s="13"/>
    </row>
    <row r="1549">
      <c r="C1549" s="13"/>
      <c r="Q1549" s="13"/>
    </row>
    <row r="1550">
      <c r="C1550" s="13"/>
      <c r="Q1550" s="13"/>
    </row>
    <row r="1551">
      <c r="C1551" s="13"/>
      <c r="Q1551" s="13"/>
    </row>
    <row r="1552">
      <c r="C1552" s="13"/>
      <c r="Q1552" s="13"/>
    </row>
    <row r="1553">
      <c r="C1553" s="13"/>
      <c r="Q1553" s="13"/>
    </row>
    <row r="1554">
      <c r="C1554" s="13"/>
      <c r="Q1554" s="13"/>
    </row>
    <row r="1555">
      <c r="C1555" s="13"/>
      <c r="Q1555" s="13"/>
    </row>
    <row r="1556">
      <c r="C1556" s="13"/>
      <c r="Q1556" s="13"/>
    </row>
    <row r="1557">
      <c r="C1557" s="13"/>
      <c r="Q1557" s="13"/>
    </row>
    <row r="1558">
      <c r="C1558" s="13"/>
      <c r="Q1558" s="13"/>
    </row>
    <row r="1559">
      <c r="C1559" s="13"/>
      <c r="Q1559" s="13"/>
    </row>
    <row r="1560">
      <c r="C1560" s="13"/>
      <c r="Q1560" s="13"/>
    </row>
    <row r="1561">
      <c r="C1561" s="13"/>
      <c r="Q1561" s="13"/>
    </row>
    <row r="1562">
      <c r="C1562" s="13"/>
      <c r="Q1562" s="13"/>
    </row>
    <row r="1563">
      <c r="C1563" s="13"/>
      <c r="Q1563" s="13"/>
    </row>
    <row r="1564">
      <c r="C1564" s="13"/>
      <c r="Q1564" s="13"/>
    </row>
    <row r="1565">
      <c r="C1565" s="13"/>
      <c r="Q1565" s="13"/>
    </row>
    <row r="1566">
      <c r="C1566" s="13"/>
      <c r="Q1566" s="13"/>
    </row>
    <row r="1567">
      <c r="C1567" s="13"/>
      <c r="Q1567" s="13"/>
    </row>
    <row r="1568">
      <c r="C1568" s="13"/>
      <c r="Q1568" s="13"/>
    </row>
    <row r="1569">
      <c r="C1569" s="13"/>
      <c r="Q1569" s="13"/>
    </row>
    <row r="1570">
      <c r="C1570" s="13"/>
      <c r="Q1570" s="13"/>
    </row>
    <row r="1571">
      <c r="C1571" s="13"/>
      <c r="Q1571" s="13"/>
    </row>
    <row r="1572">
      <c r="C1572" s="13"/>
      <c r="Q1572" s="13"/>
    </row>
    <row r="1573">
      <c r="C1573" s="13"/>
      <c r="Q1573" s="13"/>
    </row>
    <row r="1574">
      <c r="C1574" s="13"/>
      <c r="Q1574" s="13"/>
    </row>
    <row r="1575">
      <c r="C1575" s="13"/>
      <c r="Q1575" s="13"/>
    </row>
    <row r="1576">
      <c r="C1576" s="13"/>
      <c r="Q1576" s="13"/>
    </row>
    <row r="1577">
      <c r="C1577" s="13"/>
      <c r="Q1577" s="13"/>
    </row>
    <row r="1578">
      <c r="C1578" s="13"/>
      <c r="Q1578" s="13"/>
    </row>
    <row r="1579">
      <c r="C1579" s="13"/>
      <c r="Q1579" s="13"/>
    </row>
    <row r="1580">
      <c r="C1580" s="13"/>
      <c r="Q1580" s="13"/>
    </row>
    <row r="1581">
      <c r="C1581" s="13"/>
      <c r="Q1581" s="13"/>
    </row>
    <row r="1582">
      <c r="C1582" s="13"/>
      <c r="Q1582" s="13"/>
    </row>
    <row r="1583">
      <c r="C1583" s="13"/>
      <c r="Q1583" s="13"/>
    </row>
    <row r="1584">
      <c r="C1584" s="13"/>
      <c r="Q1584" s="13"/>
    </row>
    <row r="1585">
      <c r="C1585" s="13"/>
      <c r="Q1585" s="13"/>
    </row>
    <row r="1586">
      <c r="C1586" s="13"/>
      <c r="Q1586" s="13"/>
    </row>
    <row r="1587">
      <c r="C1587" s="13"/>
      <c r="Q1587" s="13"/>
    </row>
    <row r="1588">
      <c r="C1588" s="13"/>
      <c r="Q1588" s="13"/>
    </row>
    <row r="1589">
      <c r="C1589" s="13"/>
      <c r="Q1589" s="13"/>
    </row>
    <row r="1590">
      <c r="C1590" s="13"/>
      <c r="Q1590" s="13"/>
    </row>
    <row r="1591">
      <c r="C1591" s="13"/>
      <c r="Q1591" s="13"/>
    </row>
    <row r="1592">
      <c r="C1592" s="13"/>
      <c r="Q1592" s="13"/>
    </row>
    <row r="1593">
      <c r="C1593" s="13"/>
      <c r="Q1593" s="13"/>
    </row>
    <row r="1594">
      <c r="C1594" s="13"/>
      <c r="Q1594" s="13"/>
    </row>
    <row r="1595">
      <c r="C1595" s="13"/>
      <c r="Q1595" s="13"/>
    </row>
    <row r="1596">
      <c r="C1596" s="13"/>
      <c r="Q1596" s="13"/>
    </row>
    <row r="1597">
      <c r="C1597" s="13"/>
      <c r="Q1597" s="13"/>
    </row>
    <row r="1598">
      <c r="C1598" s="13"/>
      <c r="Q1598" s="13"/>
    </row>
    <row r="1599">
      <c r="C1599" s="13"/>
      <c r="Q1599" s="13"/>
    </row>
    <row r="1600">
      <c r="C1600" s="13"/>
      <c r="Q1600" s="13"/>
    </row>
    <row r="1601">
      <c r="C1601" s="13"/>
      <c r="Q1601" s="13"/>
    </row>
    <row r="1602">
      <c r="C1602" s="13"/>
      <c r="Q1602" s="13"/>
    </row>
    <row r="1603">
      <c r="C1603" s="13"/>
      <c r="Q1603" s="13"/>
    </row>
    <row r="1604">
      <c r="C1604" s="13"/>
      <c r="Q1604" s="13"/>
    </row>
    <row r="1605">
      <c r="C1605" s="13"/>
      <c r="Q1605" s="13"/>
    </row>
    <row r="1606">
      <c r="C1606" s="13"/>
      <c r="Q1606" s="13"/>
    </row>
    <row r="1607">
      <c r="C1607" s="13"/>
      <c r="Q1607" s="13"/>
    </row>
    <row r="1608">
      <c r="C1608" s="13"/>
      <c r="Q1608" s="13"/>
    </row>
    <row r="1609">
      <c r="C1609" s="13"/>
      <c r="Q1609" s="13"/>
    </row>
    <row r="1610">
      <c r="C1610" s="13"/>
      <c r="Q1610" s="13"/>
    </row>
    <row r="1611">
      <c r="C1611" s="13"/>
      <c r="Q1611" s="13"/>
    </row>
    <row r="1612">
      <c r="C1612" s="13"/>
      <c r="Q1612" s="13"/>
    </row>
    <row r="1613">
      <c r="C1613" s="13"/>
      <c r="Q1613" s="13"/>
    </row>
    <row r="1614">
      <c r="C1614" s="13"/>
      <c r="Q1614" s="13"/>
    </row>
    <row r="1615">
      <c r="C1615" s="13"/>
      <c r="Q1615" s="13"/>
    </row>
    <row r="1616">
      <c r="C1616" s="13"/>
      <c r="Q1616" s="13"/>
    </row>
    <row r="1617">
      <c r="C1617" s="13"/>
      <c r="Q1617" s="13"/>
    </row>
    <row r="1618">
      <c r="C1618" s="13"/>
      <c r="Q1618" s="13"/>
    </row>
    <row r="1619">
      <c r="C1619" s="13"/>
      <c r="Q1619" s="13"/>
    </row>
    <row r="1620">
      <c r="C1620" s="13"/>
      <c r="Q1620" s="13"/>
    </row>
    <row r="1621">
      <c r="C1621" s="13"/>
      <c r="Q1621" s="13"/>
    </row>
    <row r="1622">
      <c r="C1622" s="13"/>
      <c r="Q1622" s="13"/>
    </row>
    <row r="1623">
      <c r="C1623" s="13"/>
      <c r="Q1623" s="13"/>
    </row>
    <row r="1624">
      <c r="C1624" s="13"/>
      <c r="Q1624" s="13"/>
    </row>
    <row r="1625">
      <c r="C1625" s="13"/>
      <c r="Q1625" s="13"/>
    </row>
    <row r="1626">
      <c r="C1626" s="13"/>
      <c r="Q1626" s="13"/>
    </row>
    <row r="1627">
      <c r="C1627" s="13"/>
      <c r="Q1627" s="13"/>
    </row>
    <row r="1628">
      <c r="C1628" s="13"/>
      <c r="Q1628" s="13"/>
    </row>
    <row r="1629">
      <c r="C1629" s="13"/>
      <c r="Q1629" s="13"/>
    </row>
    <row r="1630">
      <c r="C1630" s="13"/>
      <c r="Q1630" s="13"/>
    </row>
    <row r="1631">
      <c r="C1631" s="13"/>
      <c r="Q1631" s="13"/>
    </row>
    <row r="1632">
      <c r="C1632" s="13"/>
      <c r="Q1632" s="13"/>
    </row>
    <row r="1633">
      <c r="C1633" s="13"/>
      <c r="Q1633" s="13"/>
    </row>
    <row r="1634">
      <c r="C1634" s="13"/>
      <c r="Q1634" s="13"/>
    </row>
    <row r="1635">
      <c r="C1635" s="13"/>
      <c r="Q1635" s="13"/>
    </row>
    <row r="1636">
      <c r="C1636" s="13"/>
      <c r="Q1636" s="13"/>
    </row>
    <row r="1637">
      <c r="C1637" s="13"/>
      <c r="Q1637" s="13"/>
    </row>
    <row r="1638">
      <c r="C1638" s="13"/>
      <c r="Q1638" s="13"/>
    </row>
    <row r="1639">
      <c r="C1639" s="13"/>
      <c r="Q1639" s="13"/>
    </row>
    <row r="1640">
      <c r="C1640" s="13"/>
      <c r="Q1640" s="13"/>
    </row>
    <row r="1641">
      <c r="C1641" s="13"/>
      <c r="Q1641" s="13"/>
    </row>
    <row r="1642">
      <c r="C1642" s="13"/>
      <c r="Q1642" s="13"/>
    </row>
    <row r="1643">
      <c r="C1643" s="13"/>
      <c r="Q1643" s="13"/>
    </row>
    <row r="1644">
      <c r="C1644" s="13"/>
      <c r="Q1644" s="13"/>
    </row>
    <row r="1645">
      <c r="C1645" s="13"/>
      <c r="Q1645" s="13"/>
    </row>
    <row r="1646">
      <c r="C1646" s="13"/>
      <c r="Q1646" s="13"/>
    </row>
    <row r="1647">
      <c r="C1647" s="13"/>
      <c r="Q1647" s="13"/>
    </row>
    <row r="1648">
      <c r="C1648" s="13"/>
      <c r="Q1648" s="13"/>
    </row>
    <row r="1649">
      <c r="C1649" s="13"/>
      <c r="Q1649" s="13"/>
    </row>
    <row r="1650">
      <c r="C1650" s="13"/>
      <c r="Q1650" s="13"/>
    </row>
    <row r="1651">
      <c r="C1651" s="13"/>
      <c r="Q1651" s="13"/>
    </row>
    <row r="1652">
      <c r="C1652" s="13"/>
      <c r="Q1652" s="13"/>
    </row>
    <row r="1653">
      <c r="C1653" s="13"/>
      <c r="Q1653" s="13"/>
    </row>
    <row r="1654">
      <c r="C1654" s="13"/>
      <c r="Q1654" s="13"/>
    </row>
    <row r="1655">
      <c r="C1655" s="13"/>
      <c r="Q1655" s="13"/>
    </row>
    <row r="1656">
      <c r="C1656" s="13"/>
      <c r="Q1656" s="13"/>
    </row>
    <row r="1657">
      <c r="C1657" s="13"/>
      <c r="Q1657" s="13"/>
    </row>
    <row r="1658">
      <c r="C1658" s="13"/>
      <c r="Q1658" s="13"/>
    </row>
    <row r="1659">
      <c r="C1659" s="13"/>
      <c r="Q1659" s="13"/>
    </row>
    <row r="1660">
      <c r="C1660" s="13"/>
      <c r="Q1660" s="13"/>
    </row>
    <row r="1661">
      <c r="C1661" s="13"/>
      <c r="Q1661" s="13"/>
    </row>
    <row r="1662">
      <c r="C1662" s="13"/>
      <c r="Q1662" s="13"/>
    </row>
    <row r="1663">
      <c r="C1663" s="13"/>
      <c r="Q1663" s="13"/>
    </row>
    <row r="1664">
      <c r="C1664" s="13"/>
      <c r="Q1664" s="13"/>
    </row>
    <row r="1665">
      <c r="C1665" s="13"/>
      <c r="Q1665" s="13"/>
    </row>
    <row r="1666">
      <c r="C1666" s="13"/>
      <c r="Q1666" s="13"/>
    </row>
    <row r="1667">
      <c r="C1667" s="13"/>
      <c r="Q1667" s="13"/>
    </row>
    <row r="1668">
      <c r="C1668" s="13"/>
      <c r="Q1668" s="13"/>
    </row>
    <row r="1669">
      <c r="C1669" s="13"/>
      <c r="Q1669" s="13"/>
    </row>
    <row r="1670">
      <c r="C1670" s="13"/>
      <c r="Q1670" s="13"/>
    </row>
    <row r="1671">
      <c r="C1671" s="13"/>
      <c r="Q1671" s="13"/>
    </row>
    <row r="1672">
      <c r="C1672" s="13"/>
      <c r="Q1672" s="13"/>
    </row>
    <row r="1673">
      <c r="C1673" s="13"/>
      <c r="Q1673" s="13"/>
    </row>
    <row r="1674">
      <c r="C1674" s="13"/>
      <c r="Q1674" s="13"/>
    </row>
    <row r="1675">
      <c r="C1675" s="13"/>
      <c r="Q1675" s="13"/>
    </row>
    <row r="1676">
      <c r="C1676" s="13"/>
      <c r="Q1676" s="13"/>
    </row>
    <row r="1677">
      <c r="C1677" s="13"/>
      <c r="Q1677" s="13"/>
    </row>
    <row r="1678">
      <c r="C1678" s="13"/>
      <c r="Q1678" s="13"/>
    </row>
    <row r="1679">
      <c r="C1679" s="13"/>
      <c r="Q1679" s="13"/>
    </row>
    <row r="1680">
      <c r="C1680" s="13"/>
      <c r="Q1680" s="13"/>
    </row>
    <row r="1681">
      <c r="C1681" s="13"/>
      <c r="Q1681" s="13"/>
    </row>
    <row r="1682">
      <c r="C1682" s="13"/>
      <c r="Q1682" s="13"/>
    </row>
    <row r="1683">
      <c r="C1683" s="13"/>
      <c r="Q1683" s="13"/>
    </row>
    <row r="1684">
      <c r="C1684" s="13"/>
      <c r="Q1684" s="13"/>
    </row>
    <row r="1685">
      <c r="C1685" s="13"/>
      <c r="Q1685" s="13"/>
    </row>
    <row r="1686">
      <c r="C1686" s="13"/>
      <c r="Q1686" s="13"/>
    </row>
    <row r="1687">
      <c r="C1687" s="13"/>
      <c r="Q1687" s="13"/>
    </row>
    <row r="1688">
      <c r="C1688" s="13"/>
      <c r="Q1688" s="13"/>
    </row>
    <row r="1689">
      <c r="C1689" s="13"/>
      <c r="Q1689" s="13"/>
    </row>
    <row r="1690">
      <c r="C1690" s="13"/>
      <c r="Q1690" s="13"/>
    </row>
    <row r="1691">
      <c r="C1691" s="13"/>
      <c r="Q1691" s="13"/>
    </row>
    <row r="1692">
      <c r="C1692" s="13"/>
      <c r="Q1692" s="13"/>
    </row>
    <row r="1693">
      <c r="C1693" s="13"/>
      <c r="Q1693" s="13"/>
    </row>
    <row r="1694">
      <c r="C1694" s="13"/>
      <c r="Q1694" s="13"/>
    </row>
    <row r="1695">
      <c r="C1695" s="13"/>
      <c r="Q1695" s="13"/>
    </row>
    <row r="1696">
      <c r="C1696" s="13"/>
      <c r="Q1696" s="13"/>
    </row>
    <row r="1697">
      <c r="C1697" s="13"/>
      <c r="Q1697" s="13"/>
    </row>
    <row r="1698">
      <c r="C1698" s="13"/>
      <c r="Q1698" s="13"/>
    </row>
    <row r="1699">
      <c r="C1699" s="13"/>
      <c r="Q1699" s="13"/>
    </row>
    <row r="1700">
      <c r="C1700" s="13"/>
      <c r="Q1700" s="13"/>
    </row>
    <row r="1701">
      <c r="C1701" s="13"/>
      <c r="Q1701" s="13"/>
    </row>
    <row r="1702">
      <c r="C1702" s="13"/>
      <c r="Q1702" s="13"/>
    </row>
    <row r="1703">
      <c r="C1703" s="13"/>
      <c r="Q1703" s="13"/>
    </row>
    <row r="1704">
      <c r="C1704" s="13"/>
      <c r="Q1704" s="13"/>
    </row>
    <row r="1705">
      <c r="C1705" s="13"/>
      <c r="Q1705" s="13"/>
    </row>
    <row r="1706">
      <c r="C1706" s="13"/>
      <c r="Q1706" s="13"/>
    </row>
    <row r="1707">
      <c r="C1707" s="13"/>
      <c r="Q1707" s="13"/>
    </row>
    <row r="1708">
      <c r="C1708" s="13"/>
      <c r="Q1708" s="13"/>
    </row>
    <row r="1709">
      <c r="C1709" s="13"/>
      <c r="Q1709" s="13"/>
    </row>
    <row r="1710">
      <c r="C1710" s="13"/>
      <c r="Q1710" s="13"/>
    </row>
    <row r="1711">
      <c r="C1711" s="13"/>
      <c r="Q1711" s="13"/>
    </row>
    <row r="1712">
      <c r="C1712" s="13"/>
      <c r="Q1712" s="13"/>
    </row>
    <row r="1713">
      <c r="C1713" s="13"/>
      <c r="Q1713" s="13"/>
    </row>
    <row r="1714">
      <c r="C1714" s="13"/>
      <c r="Q1714" s="13"/>
    </row>
    <row r="1715">
      <c r="C1715" s="13"/>
      <c r="Q1715" s="13"/>
    </row>
    <row r="1716">
      <c r="C1716" s="13"/>
      <c r="Q1716" s="13"/>
    </row>
    <row r="1717">
      <c r="C1717" s="13"/>
      <c r="Q1717" s="13"/>
    </row>
    <row r="1718">
      <c r="C1718" s="13"/>
      <c r="Q1718" s="13"/>
    </row>
    <row r="1719">
      <c r="C1719" s="13"/>
      <c r="Q1719" s="13"/>
    </row>
    <row r="1720">
      <c r="C1720" s="13"/>
      <c r="Q1720" s="13"/>
    </row>
    <row r="1721">
      <c r="C1721" s="13"/>
      <c r="Q1721" s="13"/>
    </row>
    <row r="1722">
      <c r="C1722" s="13"/>
      <c r="Q1722" s="13"/>
    </row>
    <row r="1723">
      <c r="C1723" s="13"/>
      <c r="Q1723" s="13"/>
    </row>
    <row r="1724">
      <c r="C1724" s="13"/>
      <c r="Q1724" s="13"/>
    </row>
    <row r="1725">
      <c r="C1725" s="13"/>
      <c r="Q1725" s="13"/>
    </row>
    <row r="1726">
      <c r="C1726" s="13"/>
      <c r="Q1726" s="13"/>
    </row>
    <row r="1727">
      <c r="C1727" s="13"/>
      <c r="Q1727" s="13"/>
    </row>
    <row r="1728">
      <c r="C1728" s="13"/>
      <c r="Q1728" s="13"/>
    </row>
    <row r="1729">
      <c r="C1729" s="13"/>
      <c r="Q1729" s="13"/>
    </row>
    <row r="1730">
      <c r="C1730" s="13"/>
      <c r="Q1730" s="13"/>
    </row>
    <row r="1731">
      <c r="C1731" s="13"/>
      <c r="Q1731" s="13"/>
    </row>
    <row r="1732">
      <c r="C1732" s="13"/>
      <c r="Q1732" s="13"/>
    </row>
    <row r="1733">
      <c r="C1733" s="13"/>
      <c r="Q1733" s="13"/>
    </row>
    <row r="1734">
      <c r="C1734" s="13"/>
      <c r="Q1734" s="13"/>
    </row>
    <row r="1735">
      <c r="C1735" s="13"/>
      <c r="Q1735" s="13"/>
    </row>
    <row r="1736">
      <c r="C1736" s="13"/>
      <c r="Q1736" s="13"/>
    </row>
    <row r="1737">
      <c r="C1737" s="13"/>
      <c r="Q1737" s="13"/>
    </row>
    <row r="1738">
      <c r="C1738" s="13"/>
      <c r="Q1738" s="13"/>
    </row>
    <row r="1739">
      <c r="C1739" s="13"/>
      <c r="Q1739" s="13"/>
    </row>
    <row r="1740">
      <c r="C1740" s="13"/>
      <c r="Q1740" s="13"/>
    </row>
    <row r="1741">
      <c r="C1741" s="13"/>
      <c r="Q1741" s="13"/>
    </row>
    <row r="1742">
      <c r="C1742" s="13"/>
      <c r="Q1742" s="13"/>
    </row>
    <row r="1743">
      <c r="C1743" s="13"/>
      <c r="Q1743" s="13"/>
    </row>
    <row r="1744">
      <c r="C1744" s="13"/>
      <c r="Q1744" s="13"/>
    </row>
    <row r="1745">
      <c r="C1745" s="13"/>
      <c r="Q1745" s="13"/>
    </row>
    <row r="1746">
      <c r="C1746" s="13"/>
      <c r="Q1746" s="13"/>
    </row>
    <row r="1747">
      <c r="C1747" s="13"/>
      <c r="Q1747" s="13"/>
    </row>
    <row r="1748">
      <c r="C1748" s="13"/>
      <c r="Q1748" s="13"/>
    </row>
    <row r="1749">
      <c r="C1749" s="13"/>
      <c r="Q1749" s="13"/>
    </row>
    <row r="1750">
      <c r="C1750" s="13"/>
      <c r="Q1750" s="13"/>
    </row>
    <row r="1751">
      <c r="C1751" s="13"/>
      <c r="Q1751" s="13"/>
    </row>
    <row r="1752">
      <c r="C1752" s="13"/>
      <c r="Q1752" s="13"/>
    </row>
    <row r="1753">
      <c r="C1753" s="13"/>
      <c r="Q1753" s="13"/>
    </row>
    <row r="1754">
      <c r="C1754" s="13"/>
      <c r="Q1754" s="13"/>
    </row>
    <row r="1755">
      <c r="C1755" s="13"/>
      <c r="Q1755" s="13"/>
    </row>
    <row r="1756">
      <c r="C1756" s="13"/>
      <c r="Q1756" s="13"/>
    </row>
    <row r="1757">
      <c r="C1757" s="13"/>
      <c r="Q1757" s="13"/>
    </row>
    <row r="1758">
      <c r="C1758" s="13"/>
      <c r="Q1758" s="13"/>
    </row>
    <row r="1759">
      <c r="C1759" s="13"/>
      <c r="Q1759" s="13"/>
    </row>
    <row r="1760">
      <c r="C1760" s="13"/>
      <c r="Q1760" s="13"/>
    </row>
    <row r="1761">
      <c r="C1761" s="13"/>
      <c r="Q1761" s="13"/>
    </row>
    <row r="1762">
      <c r="C1762" s="13"/>
      <c r="Q1762" s="13"/>
    </row>
    <row r="1763">
      <c r="C1763" s="13"/>
      <c r="Q1763" s="13"/>
    </row>
    <row r="1764">
      <c r="C1764" s="13"/>
      <c r="Q1764" s="13"/>
    </row>
    <row r="1765">
      <c r="C1765" s="13"/>
      <c r="Q1765" s="13"/>
    </row>
    <row r="1766">
      <c r="C1766" s="13"/>
      <c r="Q1766" s="13"/>
    </row>
    <row r="1767">
      <c r="C1767" s="13"/>
      <c r="Q1767" s="13"/>
    </row>
    <row r="1768">
      <c r="C1768" s="13"/>
      <c r="Q1768" s="13"/>
    </row>
    <row r="1769">
      <c r="C1769" s="13"/>
      <c r="Q1769" s="13"/>
    </row>
    <row r="1770">
      <c r="C1770" s="13"/>
      <c r="Q1770" s="13"/>
    </row>
    <row r="1771">
      <c r="C1771" s="13"/>
      <c r="Q1771" s="13"/>
    </row>
    <row r="1772">
      <c r="C1772" s="13"/>
      <c r="Q1772" s="13"/>
    </row>
    <row r="1773">
      <c r="C1773" s="13"/>
      <c r="Q1773" s="13"/>
    </row>
    <row r="1774">
      <c r="C1774" s="13"/>
      <c r="Q1774" s="13"/>
    </row>
    <row r="1775">
      <c r="C1775" s="13"/>
      <c r="Q1775" s="13"/>
    </row>
    <row r="1776">
      <c r="C1776" s="13"/>
      <c r="Q1776" s="13"/>
    </row>
    <row r="1777">
      <c r="C1777" s="13"/>
      <c r="Q1777" s="13"/>
    </row>
    <row r="1778">
      <c r="C1778" s="13"/>
      <c r="Q1778" s="13"/>
    </row>
    <row r="1779">
      <c r="C1779" s="13"/>
      <c r="Q1779" s="13"/>
    </row>
    <row r="1780">
      <c r="C1780" s="13"/>
      <c r="Q1780" s="13"/>
    </row>
    <row r="1781">
      <c r="C1781" s="13"/>
      <c r="Q1781" s="13"/>
    </row>
    <row r="1782">
      <c r="C1782" s="13"/>
      <c r="Q1782" s="13"/>
    </row>
    <row r="1783">
      <c r="C1783" s="13"/>
      <c r="Q1783" s="13"/>
    </row>
    <row r="1784">
      <c r="C1784" s="13"/>
      <c r="Q1784" s="13"/>
    </row>
    <row r="1785">
      <c r="C1785" s="13"/>
      <c r="Q1785" s="13"/>
    </row>
    <row r="1786">
      <c r="C1786" s="13"/>
      <c r="Q1786" s="13"/>
    </row>
    <row r="1787">
      <c r="C1787" s="13"/>
      <c r="Q1787" s="13"/>
    </row>
    <row r="1788">
      <c r="C1788" s="13"/>
      <c r="Q1788" s="13"/>
    </row>
    <row r="1789">
      <c r="C1789" s="13"/>
      <c r="Q1789" s="13"/>
    </row>
    <row r="1790">
      <c r="C1790" s="13"/>
      <c r="Q1790" s="13"/>
    </row>
    <row r="1791">
      <c r="C1791" s="13"/>
      <c r="Q1791" s="13"/>
    </row>
    <row r="1792">
      <c r="C1792" s="13"/>
      <c r="Q1792" s="13"/>
    </row>
    <row r="1793">
      <c r="C1793" s="13"/>
      <c r="Q1793" s="13"/>
    </row>
    <row r="1794">
      <c r="C1794" s="13"/>
      <c r="Q1794" s="13"/>
    </row>
    <row r="1795">
      <c r="C1795" s="13"/>
      <c r="Q1795" s="13"/>
    </row>
    <row r="1796">
      <c r="C1796" s="13"/>
      <c r="Q1796" s="13"/>
    </row>
    <row r="1797">
      <c r="C1797" s="13"/>
      <c r="Q1797" s="13"/>
    </row>
    <row r="1798">
      <c r="C1798" s="13"/>
      <c r="Q1798" s="13"/>
    </row>
    <row r="1799">
      <c r="C1799" s="13"/>
      <c r="Q1799" s="13"/>
    </row>
    <row r="1800">
      <c r="C1800" s="13"/>
      <c r="Q1800" s="13"/>
    </row>
    <row r="1801">
      <c r="C1801" s="13"/>
      <c r="Q1801" s="13"/>
    </row>
    <row r="1802">
      <c r="C1802" s="13"/>
      <c r="Q1802" s="13"/>
    </row>
    <row r="1803">
      <c r="C1803" s="13"/>
      <c r="Q1803" s="13"/>
    </row>
    <row r="1804">
      <c r="C1804" s="13"/>
      <c r="Q1804" s="13"/>
    </row>
    <row r="1805">
      <c r="C1805" s="13"/>
      <c r="Q1805" s="13"/>
    </row>
    <row r="1806">
      <c r="C1806" s="13"/>
      <c r="Q1806" s="13"/>
    </row>
    <row r="1807">
      <c r="C1807" s="13"/>
      <c r="Q1807" s="13"/>
    </row>
    <row r="1808">
      <c r="C1808" s="13"/>
      <c r="Q1808" s="13"/>
    </row>
    <row r="1809">
      <c r="C1809" s="13"/>
      <c r="Q1809" s="13"/>
    </row>
    <row r="1810">
      <c r="C1810" s="13"/>
      <c r="Q1810" s="13"/>
    </row>
    <row r="1811">
      <c r="C1811" s="13"/>
      <c r="Q1811" s="13"/>
    </row>
    <row r="1812">
      <c r="C1812" s="13"/>
      <c r="Q1812" s="13"/>
    </row>
    <row r="1813">
      <c r="C1813" s="13"/>
      <c r="Q1813" s="13"/>
    </row>
    <row r="1814">
      <c r="C1814" s="13"/>
      <c r="Q1814" s="13"/>
    </row>
    <row r="1815">
      <c r="C1815" s="13"/>
      <c r="Q1815" s="13"/>
    </row>
    <row r="1816">
      <c r="C1816" s="13"/>
      <c r="Q1816" s="13"/>
    </row>
    <row r="1817">
      <c r="C1817" s="13"/>
      <c r="Q1817" s="13"/>
    </row>
    <row r="1818">
      <c r="C1818" s="13"/>
      <c r="Q1818" s="13"/>
    </row>
    <row r="1819">
      <c r="C1819" s="13"/>
      <c r="Q1819" s="13"/>
    </row>
    <row r="1820">
      <c r="C1820" s="13"/>
      <c r="Q1820" s="13"/>
    </row>
    <row r="1821">
      <c r="C1821" s="13"/>
      <c r="Q1821" s="13"/>
    </row>
    <row r="1822">
      <c r="C1822" s="13"/>
      <c r="Q1822" s="13"/>
    </row>
    <row r="1823">
      <c r="C1823" s="13"/>
      <c r="Q1823" s="13"/>
    </row>
    <row r="1824">
      <c r="C1824" s="13"/>
      <c r="Q1824" s="13"/>
    </row>
    <row r="1825">
      <c r="C1825" s="13"/>
      <c r="Q1825" s="13"/>
    </row>
    <row r="1826">
      <c r="C1826" s="13"/>
      <c r="Q1826" s="13"/>
    </row>
    <row r="1827">
      <c r="C1827" s="13"/>
      <c r="Q1827" s="13"/>
    </row>
    <row r="1828">
      <c r="C1828" s="13"/>
      <c r="Q1828" s="13"/>
    </row>
    <row r="1829">
      <c r="C1829" s="13"/>
      <c r="Q1829" s="13"/>
    </row>
    <row r="1830">
      <c r="C1830" s="13"/>
      <c r="Q1830" s="13"/>
    </row>
    <row r="1831">
      <c r="C1831" s="13"/>
      <c r="Q1831" s="13"/>
    </row>
    <row r="1832">
      <c r="C1832" s="13"/>
      <c r="Q1832" s="13"/>
    </row>
    <row r="1833">
      <c r="C1833" s="13"/>
      <c r="Q1833" s="13"/>
    </row>
    <row r="1834">
      <c r="C1834" s="13"/>
      <c r="Q1834" s="13"/>
    </row>
    <row r="1835">
      <c r="C1835" s="13"/>
      <c r="Q1835" s="13"/>
    </row>
    <row r="1836">
      <c r="C1836" s="13"/>
      <c r="Q1836" s="13"/>
    </row>
    <row r="1837">
      <c r="C1837" s="13"/>
      <c r="Q1837" s="13"/>
    </row>
    <row r="1838">
      <c r="C1838" s="13"/>
      <c r="Q1838" s="13"/>
    </row>
    <row r="1839">
      <c r="C1839" s="13"/>
      <c r="Q1839" s="13"/>
    </row>
    <row r="1840">
      <c r="C1840" s="13"/>
      <c r="Q1840" s="13"/>
    </row>
    <row r="1841">
      <c r="C1841" s="13"/>
      <c r="Q1841" s="13"/>
    </row>
    <row r="1842">
      <c r="C1842" s="13"/>
      <c r="Q1842" s="13"/>
    </row>
    <row r="1843">
      <c r="C1843" s="13"/>
      <c r="Q1843" s="13"/>
    </row>
    <row r="1844">
      <c r="C1844" s="13"/>
      <c r="Q1844" s="13"/>
    </row>
    <row r="1845">
      <c r="C1845" s="13"/>
      <c r="Q1845" s="13"/>
    </row>
    <row r="1846">
      <c r="C1846" s="13"/>
      <c r="Q1846" s="13"/>
    </row>
    <row r="1847">
      <c r="C1847" s="13"/>
      <c r="Q1847" s="13"/>
    </row>
    <row r="1848">
      <c r="C1848" s="13"/>
      <c r="Q1848" s="13"/>
    </row>
    <row r="1849">
      <c r="C1849" s="13"/>
      <c r="Q1849" s="13"/>
    </row>
    <row r="1850">
      <c r="C1850" s="13"/>
      <c r="Q1850" s="13"/>
    </row>
    <row r="1851">
      <c r="C1851" s="13"/>
      <c r="Q1851" s="13"/>
    </row>
    <row r="1852">
      <c r="C1852" s="13"/>
      <c r="Q1852" s="13"/>
    </row>
    <row r="1853">
      <c r="C1853" s="13"/>
      <c r="Q1853" s="13"/>
    </row>
    <row r="1854">
      <c r="C1854" s="13"/>
      <c r="Q1854" s="13"/>
    </row>
    <row r="1855">
      <c r="C1855" s="13"/>
      <c r="Q1855" s="13"/>
    </row>
    <row r="1856">
      <c r="C1856" s="13"/>
      <c r="Q1856" s="13"/>
    </row>
    <row r="1857">
      <c r="C1857" s="13"/>
      <c r="Q1857" s="13"/>
    </row>
    <row r="1858">
      <c r="C1858" s="13"/>
      <c r="Q1858" s="13"/>
    </row>
    <row r="1859">
      <c r="C1859" s="13"/>
      <c r="Q1859" s="13"/>
    </row>
    <row r="1860">
      <c r="C1860" s="13"/>
      <c r="Q1860" s="13"/>
    </row>
    <row r="1861">
      <c r="C1861" s="13"/>
      <c r="Q1861" s="13"/>
    </row>
    <row r="1862">
      <c r="C1862" s="13"/>
      <c r="Q1862" s="13"/>
    </row>
    <row r="1863">
      <c r="C1863" s="13"/>
      <c r="Q1863" s="13"/>
    </row>
    <row r="1864">
      <c r="C1864" s="13"/>
      <c r="Q1864" s="13"/>
    </row>
    <row r="1865">
      <c r="C1865" s="13"/>
      <c r="Q1865" s="13"/>
    </row>
    <row r="1866">
      <c r="C1866" s="13"/>
      <c r="Q1866" s="13"/>
    </row>
    <row r="1867">
      <c r="C1867" s="13"/>
      <c r="Q1867" s="13"/>
    </row>
    <row r="1868">
      <c r="C1868" s="13"/>
      <c r="Q1868" s="13"/>
    </row>
    <row r="1869">
      <c r="C1869" s="13"/>
      <c r="Q1869" s="13"/>
    </row>
    <row r="1870">
      <c r="C1870" s="13"/>
      <c r="Q1870" s="13"/>
    </row>
    <row r="1871">
      <c r="C1871" s="13"/>
      <c r="Q1871" s="13"/>
    </row>
    <row r="1872">
      <c r="C1872" s="13"/>
      <c r="Q1872" s="13"/>
    </row>
    <row r="1873">
      <c r="C1873" s="13"/>
      <c r="Q1873" s="13"/>
    </row>
    <row r="1874">
      <c r="C1874" s="13"/>
      <c r="Q1874" s="13"/>
    </row>
    <row r="1875">
      <c r="C1875" s="13"/>
      <c r="Q1875" s="13"/>
    </row>
    <row r="1876">
      <c r="C1876" s="13"/>
      <c r="Q1876" s="13"/>
    </row>
    <row r="1877">
      <c r="C1877" s="13"/>
      <c r="Q1877" s="13"/>
    </row>
    <row r="1878">
      <c r="C1878" s="13"/>
      <c r="Q1878" s="13"/>
    </row>
    <row r="1879">
      <c r="C1879" s="13"/>
      <c r="Q1879" s="13"/>
    </row>
    <row r="1880">
      <c r="C1880" s="13"/>
      <c r="Q1880" s="13"/>
    </row>
    <row r="1881">
      <c r="C1881" s="13"/>
      <c r="Q1881" s="13"/>
    </row>
    <row r="1882">
      <c r="C1882" s="13"/>
      <c r="Q1882" s="13"/>
    </row>
    <row r="1883">
      <c r="C1883" s="13"/>
      <c r="Q1883" s="13"/>
    </row>
    <row r="1884">
      <c r="C1884" s="13"/>
      <c r="Q1884" s="13"/>
    </row>
    <row r="1885">
      <c r="C1885" s="13"/>
      <c r="Q1885" s="13"/>
    </row>
    <row r="1886">
      <c r="C1886" s="13"/>
      <c r="Q1886" s="13"/>
    </row>
    <row r="1887">
      <c r="C1887" s="13"/>
      <c r="Q1887" s="13"/>
    </row>
    <row r="1888">
      <c r="C1888" s="13"/>
      <c r="Q1888" s="13"/>
    </row>
    <row r="1889">
      <c r="C1889" s="13"/>
      <c r="Q1889" s="13"/>
    </row>
    <row r="1890">
      <c r="C1890" s="13"/>
      <c r="Q1890" s="13"/>
    </row>
    <row r="1891">
      <c r="C1891" s="13"/>
      <c r="Q1891" s="13"/>
    </row>
    <row r="1892">
      <c r="C1892" s="13"/>
      <c r="Q1892" s="13"/>
    </row>
    <row r="1893">
      <c r="C1893" s="13"/>
      <c r="Q1893" s="13"/>
    </row>
    <row r="1894">
      <c r="C1894" s="13"/>
      <c r="Q1894" s="13"/>
    </row>
    <row r="1895">
      <c r="C1895" s="13"/>
      <c r="Q1895" s="13"/>
    </row>
    <row r="1896">
      <c r="C1896" s="13"/>
      <c r="Q1896" s="13"/>
    </row>
    <row r="1897">
      <c r="C1897" s="13"/>
      <c r="Q1897" s="13"/>
    </row>
    <row r="1898">
      <c r="C1898" s="13"/>
      <c r="Q1898" s="13"/>
    </row>
    <row r="1899">
      <c r="C1899" s="13"/>
      <c r="Q1899" s="13"/>
    </row>
    <row r="1900">
      <c r="C1900" s="13"/>
      <c r="Q1900" s="13"/>
    </row>
    <row r="1901">
      <c r="C1901" s="13"/>
      <c r="Q1901" s="13"/>
    </row>
    <row r="1902">
      <c r="C1902" s="13"/>
      <c r="Q1902" s="13"/>
    </row>
    <row r="1903">
      <c r="C1903" s="13"/>
      <c r="Q1903" s="13"/>
    </row>
    <row r="1904">
      <c r="C1904" s="13"/>
      <c r="Q1904" s="13"/>
    </row>
    <row r="1905">
      <c r="C1905" s="13"/>
      <c r="Q1905" s="13"/>
    </row>
    <row r="1906">
      <c r="C1906" s="13"/>
      <c r="Q1906" s="13"/>
    </row>
    <row r="1907">
      <c r="C1907" s="13"/>
      <c r="Q1907" s="13"/>
    </row>
    <row r="1908">
      <c r="C1908" s="13"/>
      <c r="Q1908" s="13"/>
    </row>
    <row r="1909">
      <c r="C1909" s="13"/>
      <c r="Q1909" s="13"/>
    </row>
    <row r="1910">
      <c r="C1910" s="13"/>
      <c r="Q1910" s="13"/>
    </row>
    <row r="1911">
      <c r="C1911" s="13"/>
      <c r="Q1911" s="13"/>
    </row>
    <row r="1912">
      <c r="C1912" s="13"/>
      <c r="Q1912" s="13"/>
    </row>
    <row r="1913">
      <c r="C1913" s="13"/>
      <c r="Q1913" s="13"/>
    </row>
    <row r="1914">
      <c r="C1914" s="13"/>
      <c r="Q1914" s="13"/>
    </row>
    <row r="1915">
      <c r="C1915" s="13"/>
      <c r="Q1915" s="13"/>
    </row>
    <row r="1916">
      <c r="C1916" s="13"/>
      <c r="Q1916" s="13"/>
    </row>
    <row r="1917">
      <c r="C1917" s="13"/>
      <c r="Q1917" s="13"/>
    </row>
    <row r="1918">
      <c r="C1918" s="13"/>
      <c r="Q1918" s="13"/>
    </row>
    <row r="1919">
      <c r="C1919" s="13"/>
      <c r="Q1919" s="13"/>
    </row>
    <row r="1920">
      <c r="C1920" s="13"/>
      <c r="Q1920" s="13"/>
    </row>
    <row r="1921">
      <c r="C1921" s="13"/>
      <c r="Q1921" s="13"/>
    </row>
    <row r="1922">
      <c r="C1922" s="13"/>
      <c r="Q1922" s="13"/>
    </row>
    <row r="1923">
      <c r="C1923" s="13"/>
      <c r="Q1923" s="13"/>
    </row>
    <row r="1924">
      <c r="C1924" s="13"/>
      <c r="Q1924" s="13"/>
    </row>
    <row r="1925">
      <c r="C1925" s="13"/>
      <c r="Q1925" s="13"/>
    </row>
    <row r="1926">
      <c r="C1926" s="13"/>
      <c r="Q1926" s="13"/>
    </row>
    <row r="1927">
      <c r="C1927" s="13"/>
      <c r="Q1927" s="13"/>
    </row>
    <row r="1928">
      <c r="C1928" s="13"/>
      <c r="Q1928" s="13"/>
    </row>
    <row r="1929">
      <c r="C1929" s="13"/>
      <c r="Q1929" s="13"/>
    </row>
    <row r="1930">
      <c r="C1930" s="13"/>
      <c r="Q1930" s="13"/>
    </row>
    <row r="1931">
      <c r="C1931" s="13"/>
      <c r="Q1931" s="13"/>
    </row>
    <row r="1932">
      <c r="C1932" s="13"/>
      <c r="Q1932" s="13"/>
    </row>
    <row r="1933">
      <c r="C1933" s="13"/>
      <c r="Q1933" s="13"/>
    </row>
    <row r="1934">
      <c r="C1934" s="13"/>
      <c r="Q1934" s="13"/>
    </row>
    <row r="1935">
      <c r="C1935" s="13"/>
      <c r="Q1935" s="13"/>
    </row>
    <row r="1936">
      <c r="C1936" s="13"/>
      <c r="Q1936" s="13"/>
    </row>
    <row r="1937">
      <c r="C1937" s="13"/>
      <c r="Q1937" s="13"/>
    </row>
    <row r="1938">
      <c r="C1938" s="13"/>
      <c r="Q1938" s="13"/>
    </row>
    <row r="1939">
      <c r="C1939" s="13"/>
      <c r="Q1939" s="13"/>
    </row>
    <row r="1940">
      <c r="C1940" s="13"/>
      <c r="Q1940" s="13"/>
    </row>
    <row r="1941">
      <c r="C1941" s="13"/>
      <c r="Q1941" s="13"/>
    </row>
    <row r="1942">
      <c r="C1942" s="13"/>
      <c r="Q1942" s="13"/>
    </row>
    <row r="1943">
      <c r="C1943" s="13"/>
      <c r="Q1943" s="13"/>
    </row>
    <row r="1944">
      <c r="C1944" s="13"/>
      <c r="Q1944" s="13"/>
    </row>
    <row r="1945">
      <c r="C1945" s="13"/>
      <c r="Q1945" s="13"/>
    </row>
    <row r="1946">
      <c r="C1946" s="13"/>
      <c r="Q1946" s="13"/>
    </row>
    <row r="1947">
      <c r="C1947" s="13"/>
      <c r="Q1947" s="13"/>
    </row>
    <row r="1948">
      <c r="C1948" s="13"/>
      <c r="Q1948" s="13"/>
    </row>
    <row r="1949">
      <c r="C1949" s="13"/>
      <c r="Q1949" s="13"/>
    </row>
    <row r="1950">
      <c r="C1950" s="13"/>
      <c r="Q1950" s="13"/>
    </row>
    <row r="1951">
      <c r="C1951" s="13"/>
      <c r="Q1951" s="13"/>
    </row>
    <row r="1952">
      <c r="C1952" s="13"/>
      <c r="Q1952" s="13"/>
    </row>
    <row r="1953">
      <c r="C1953" s="13"/>
      <c r="Q1953" s="13"/>
    </row>
    <row r="1954">
      <c r="C1954" s="13"/>
      <c r="Q1954" s="13"/>
    </row>
    <row r="1955">
      <c r="C1955" s="13"/>
      <c r="Q1955" s="13"/>
    </row>
    <row r="1956">
      <c r="C1956" s="13"/>
      <c r="Q1956" s="13"/>
    </row>
    <row r="1957">
      <c r="C1957" s="13"/>
      <c r="Q1957" s="13"/>
    </row>
    <row r="1958">
      <c r="C1958" s="13"/>
      <c r="Q1958" s="13"/>
    </row>
    <row r="1959">
      <c r="C1959" s="13"/>
      <c r="Q1959" s="13"/>
    </row>
    <row r="1960">
      <c r="C1960" s="13"/>
      <c r="Q1960" s="13"/>
    </row>
    <row r="1961">
      <c r="C1961" s="13"/>
      <c r="Q1961" s="13"/>
    </row>
    <row r="1962">
      <c r="C1962" s="13"/>
      <c r="Q1962" s="13"/>
    </row>
    <row r="1963">
      <c r="C1963" s="13"/>
      <c r="Q1963" s="13"/>
    </row>
    <row r="1964">
      <c r="C1964" s="13"/>
      <c r="Q1964" s="13"/>
    </row>
    <row r="1965">
      <c r="C1965" s="13"/>
      <c r="Q1965" s="13"/>
    </row>
    <row r="1966">
      <c r="C1966" s="13"/>
      <c r="Q1966" s="13"/>
    </row>
    <row r="1967">
      <c r="C1967" s="13"/>
      <c r="Q1967" s="13"/>
    </row>
    <row r="1968">
      <c r="C1968" s="13"/>
      <c r="Q1968" s="13"/>
    </row>
    <row r="1969">
      <c r="C1969" s="13"/>
      <c r="Q1969" s="13"/>
    </row>
    <row r="1970">
      <c r="C1970" s="13"/>
      <c r="Q1970" s="13"/>
    </row>
    <row r="1971">
      <c r="C1971" s="13"/>
      <c r="Q1971" s="13"/>
    </row>
    <row r="1972">
      <c r="C1972" s="13"/>
      <c r="Q1972" s="13"/>
    </row>
    <row r="1973">
      <c r="C1973" s="13"/>
      <c r="Q1973" s="13"/>
    </row>
    <row r="1974">
      <c r="C1974" s="13"/>
      <c r="Q1974" s="13"/>
    </row>
    <row r="1975">
      <c r="C1975" s="13"/>
      <c r="Q1975" s="13"/>
    </row>
    <row r="1976">
      <c r="C1976" s="13"/>
      <c r="Q1976" s="13"/>
    </row>
    <row r="1977">
      <c r="C1977" s="13"/>
      <c r="Q1977" s="13"/>
    </row>
    <row r="1978">
      <c r="C1978" s="13"/>
      <c r="Q1978" s="13"/>
    </row>
    <row r="1979">
      <c r="C1979" s="13"/>
      <c r="Q1979" s="13"/>
    </row>
    <row r="1980">
      <c r="C1980" s="13"/>
      <c r="Q1980" s="13"/>
    </row>
    <row r="1981">
      <c r="C1981" s="13"/>
      <c r="Q1981" s="13"/>
    </row>
    <row r="1982">
      <c r="C1982" s="13"/>
      <c r="Q1982" s="13"/>
    </row>
    <row r="1983">
      <c r="C1983" s="13"/>
      <c r="Q1983" s="13"/>
    </row>
    <row r="1984">
      <c r="C1984" s="13"/>
      <c r="Q1984" s="13"/>
    </row>
    <row r="1985">
      <c r="C1985" s="13"/>
      <c r="Q1985" s="13"/>
    </row>
    <row r="1986">
      <c r="C1986" s="13"/>
      <c r="Q1986" s="13"/>
    </row>
  </sheetData>
  <drawing r:id="rId4"/>
  <tableParts count="5"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42" t="s">
        <v>73</v>
      </c>
    </row>
    <row r="4">
      <c r="A4" s="43"/>
      <c r="B4" s="43"/>
      <c r="C4" s="43"/>
      <c r="D4" s="44"/>
      <c r="E4" s="43"/>
      <c r="F4" s="45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</row>
    <row r="5">
      <c r="A5" s="43"/>
      <c r="B5" s="43"/>
      <c r="C5" s="43"/>
      <c r="D5" s="46" t="s">
        <v>74</v>
      </c>
      <c r="F5" s="43"/>
      <c r="G5" s="43"/>
      <c r="H5" s="46" t="s">
        <v>75</v>
      </c>
      <c r="J5" s="43"/>
      <c r="K5" s="43"/>
      <c r="L5" s="47" t="s">
        <v>76</v>
      </c>
      <c r="N5" s="48"/>
      <c r="O5" s="43"/>
      <c r="P5" s="47" t="s">
        <v>77</v>
      </c>
      <c r="R5" s="48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</row>
    <row r="6">
      <c r="A6" s="43"/>
      <c r="B6" s="43"/>
      <c r="C6" s="43"/>
      <c r="D6" s="49">
        <f>sum(Analysis!C6:C8)</f>
        <v>2831548</v>
      </c>
      <c r="F6" s="43"/>
      <c r="G6" s="43"/>
      <c r="H6" s="50" t="str">
        <f>IF((Analysis!C8-Analysis!C7)/Analysis!C7&gt;0,
"▲ "&amp;TEXT((Analysis!C8-Analysis!C7)/Analysis!C7,"0.0%"),
"▼ "&amp;TEXT(ABS((Analysis!C8-Analysis!C7)/Analysis!C7),"0.0%"))</f>
        <v>▲ 14.2%</v>
      </c>
      <c r="J6" s="43"/>
      <c r="K6" s="43"/>
      <c r="L6" s="51" t="str">
        <f t="array" ref="L6">INDEX( Analysis!F6:F9, MATCH(MAX( Analysis!G6:G9), Analysis!G6:G9, 0))</f>
        <v>East</v>
      </c>
      <c r="N6" s="48"/>
      <c r="O6" s="43"/>
      <c r="P6" s="52" t="str">
        <f t="array" ref="P6">INDEX(Analysis!J6:J8, MATCH(MAX(Analysis!K6:K8),Analysis!K6:K8, 0))</f>
        <v>Electronics</v>
      </c>
      <c r="R6" s="48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</row>
    <row r="7">
      <c r="A7" s="43"/>
      <c r="B7" s="43"/>
      <c r="C7" s="43"/>
      <c r="F7" s="43"/>
      <c r="G7" s="43"/>
      <c r="J7" s="43"/>
      <c r="K7" s="43"/>
      <c r="N7" s="48"/>
      <c r="O7" s="43"/>
      <c r="R7" s="48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</row>
    <row r="8">
      <c r="A8" s="43"/>
      <c r="B8" s="43"/>
      <c r="C8" s="43"/>
      <c r="F8" s="43"/>
      <c r="G8" s="43"/>
      <c r="J8" s="43"/>
      <c r="K8" s="43"/>
      <c r="N8" s="48"/>
      <c r="O8" s="43"/>
      <c r="R8" s="48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</row>
    <row r="9">
      <c r="A9" s="43"/>
      <c r="B9" s="43"/>
      <c r="C9" s="43"/>
      <c r="D9" s="53"/>
      <c r="E9" s="53"/>
      <c r="F9" s="43"/>
      <c r="G9" s="43"/>
      <c r="H9" s="53"/>
      <c r="I9" s="53"/>
      <c r="J9" s="43"/>
      <c r="K9" s="43"/>
      <c r="L9" s="53"/>
      <c r="M9" s="53"/>
      <c r="N9" s="48"/>
      <c r="O9" s="43"/>
      <c r="P9" s="53"/>
      <c r="Q9" s="53"/>
      <c r="R9" s="48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</row>
    <row r="10">
      <c r="A10" s="48"/>
      <c r="B10" s="48"/>
      <c r="C10" s="48"/>
      <c r="D10" s="48"/>
      <c r="E10" s="48"/>
      <c r="F10" s="48"/>
      <c r="G10" s="48"/>
      <c r="H10" s="48"/>
      <c r="I10" s="48"/>
      <c r="J10" s="43"/>
      <c r="K10" s="48"/>
      <c r="L10" s="54"/>
      <c r="M10" s="54"/>
      <c r="N10" s="54"/>
      <c r="O10" s="43"/>
      <c r="P10" s="43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</row>
    <row r="11">
      <c r="A11" s="48"/>
      <c r="B11" s="55"/>
      <c r="C11" s="35"/>
      <c r="D11" s="56"/>
      <c r="E11" s="35"/>
      <c r="F11" s="35"/>
      <c r="G11" s="48"/>
      <c r="H11" s="55"/>
      <c r="I11" s="35"/>
      <c r="J11" s="56"/>
      <c r="K11" s="35"/>
      <c r="L11" s="35"/>
      <c r="M11" s="54"/>
      <c r="N11" s="55"/>
      <c r="O11" s="35"/>
      <c r="P11" s="56"/>
      <c r="Q11" s="35"/>
      <c r="R11" s="35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</row>
    <row r="12">
      <c r="A12" s="48"/>
      <c r="B12" s="57"/>
      <c r="C12" s="57"/>
      <c r="D12" s="57"/>
      <c r="E12" s="57"/>
      <c r="F12" s="57"/>
      <c r="G12" s="48"/>
      <c r="H12" s="57"/>
      <c r="I12" s="57"/>
      <c r="J12" s="57"/>
      <c r="K12" s="57"/>
      <c r="L12" s="57"/>
      <c r="M12" s="54"/>
      <c r="N12" s="57"/>
      <c r="O12" s="57"/>
      <c r="P12" s="57"/>
      <c r="Q12" s="57"/>
      <c r="R12" s="57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</row>
    <row r="13">
      <c r="A13" s="48"/>
      <c r="B13" s="57"/>
      <c r="C13" s="57"/>
      <c r="D13" s="57"/>
      <c r="E13" s="57"/>
      <c r="F13" s="57"/>
      <c r="G13" s="48"/>
      <c r="H13" s="57"/>
      <c r="I13" s="57"/>
      <c r="J13" s="57"/>
      <c r="K13" s="57"/>
      <c r="L13" s="57"/>
      <c r="M13" s="54"/>
      <c r="N13" s="57"/>
      <c r="O13" s="57"/>
      <c r="P13" s="57"/>
      <c r="Q13" s="57"/>
      <c r="R13" s="57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</row>
    <row r="14">
      <c r="A14" s="48"/>
      <c r="B14" s="57"/>
      <c r="C14" s="57"/>
      <c r="D14" s="57"/>
      <c r="E14" s="57"/>
      <c r="F14" s="57"/>
      <c r="G14" s="48"/>
      <c r="H14" s="57"/>
      <c r="I14" s="57"/>
      <c r="J14" s="57"/>
      <c r="K14" s="57"/>
      <c r="L14" s="57"/>
      <c r="M14" s="54"/>
      <c r="N14" s="57"/>
      <c r="O14" s="57"/>
      <c r="P14" s="57"/>
      <c r="Q14" s="57"/>
      <c r="R14" s="57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</row>
    <row r="15">
      <c r="A15" s="48"/>
      <c r="B15" s="57"/>
      <c r="C15" s="57"/>
      <c r="D15" s="57"/>
      <c r="E15" s="57"/>
      <c r="F15" s="57"/>
      <c r="G15" s="48"/>
      <c r="H15" s="57"/>
      <c r="I15" s="57"/>
      <c r="J15" s="57"/>
      <c r="K15" s="57"/>
      <c r="L15" s="57"/>
      <c r="M15" s="54"/>
      <c r="N15" s="57"/>
      <c r="O15" s="57"/>
      <c r="P15" s="57"/>
      <c r="Q15" s="57"/>
      <c r="R15" s="57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</row>
    <row r="16">
      <c r="A16" s="48"/>
      <c r="B16" s="57"/>
      <c r="C16" s="57"/>
      <c r="D16" s="57"/>
      <c r="E16" s="57"/>
      <c r="F16" s="57"/>
      <c r="G16" s="48"/>
      <c r="H16" s="57"/>
      <c r="I16" s="57"/>
      <c r="J16" s="57"/>
      <c r="K16" s="57"/>
      <c r="L16" s="57"/>
      <c r="M16" s="54"/>
      <c r="N16" s="57"/>
      <c r="O16" s="57"/>
      <c r="P16" s="57"/>
      <c r="Q16" s="57"/>
      <c r="R16" s="57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</row>
    <row r="17">
      <c r="A17" s="48"/>
      <c r="B17" s="57"/>
      <c r="C17" s="57"/>
      <c r="D17" s="57"/>
      <c r="E17" s="57"/>
      <c r="F17" s="57"/>
      <c r="G17" s="48"/>
      <c r="H17" s="57"/>
      <c r="I17" s="57"/>
      <c r="J17" s="57"/>
      <c r="K17" s="57"/>
      <c r="L17" s="57"/>
      <c r="M17" s="54"/>
      <c r="N17" s="57"/>
      <c r="O17" s="57"/>
      <c r="P17" s="57"/>
      <c r="Q17" s="57"/>
      <c r="R17" s="57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</row>
    <row r="18">
      <c r="A18" s="48"/>
      <c r="B18" s="57"/>
      <c r="C18" s="57"/>
      <c r="D18" s="57"/>
      <c r="E18" s="57"/>
      <c r="F18" s="57"/>
      <c r="G18" s="48"/>
      <c r="H18" s="57"/>
      <c r="I18" s="57"/>
      <c r="J18" s="57"/>
      <c r="K18" s="57"/>
      <c r="L18" s="57"/>
      <c r="M18" s="54"/>
      <c r="N18" s="57"/>
      <c r="O18" s="57"/>
      <c r="P18" s="57"/>
      <c r="Q18" s="57"/>
      <c r="R18" s="57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</row>
    <row r="19">
      <c r="A19" s="48"/>
      <c r="B19" s="57"/>
      <c r="C19" s="57"/>
      <c r="D19" s="57"/>
      <c r="E19" s="57"/>
      <c r="F19" s="57"/>
      <c r="G19" s="48"/>
      <c r="H19" s="57"/>
      <c r="I19" s="57"/>
      <c r="J19" s="57"/>
      <c r="K19" s="57"/>
      <c r="L19" s="57"/>
      <c r="M19" s="54"/>
      <c r="N19" s="57"/>
      <c r="O19" s="57"/>
      <c r="P19" s="57"/>
      <c r="Q19" s="57"/>
      <c r="R19" s="57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</row>
    <row r="20">
      <c r="A20" s="48"/>
      <c r="B20" s="57"/>
      <c r="C20" s="57"/>
      <c r="D20" s="57"/>
      <c r="E20" s="57"/>
      <c r="F20" s="57"/>
      <c r="G20" s="48"/>
      <c r="H20" s="57"/>
      <c r="I20" s="57"/>
      <c r="J20" s="57"/>
      <c r="K20" s="57"/>
      <c r="L20" s="57"/>
      <c r="M20" s="54"/>
      <c r="N20" s="57"/>
      <c r="O20" s="57"/>
      <c r="P20" s="57"/>
      <c r="Q20" s="57"/>
      <c r="R20" s="57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</row>
    <row r="21">
      <c r="A21" s="48"/>
      <c r="B21" s="57"/>
      <c r="C21" s="57"/>
      <c r="D21" s="57"/>
      <c r="E21" s="57"/>
      <c r="F21" s="57"/>
      <c r="G21" s="48"/>
      <c r="H21" s="57"/>
      <c r="I21" s="57"/>
      <c r="J21" s="57"/>
      <c r="K21" s="57"/>
      <c r="L21" s="57"/>
      <c r="M21" s="54"/>
      <c r="N21" s="57"/>
      <c r="O21" s="57"/>
      <c r="P21" s="57"/>
      <c r="Q21" s="57"/>
      <c r="R21" s="57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</row>
    <row r="22">
      <c r="A22" s="48"/>
      <c r="B22" s="57"/>
      <c r="C22" s="57"/>
      <c r="D22" s="57"/>
      <c r="E22" s="57"/>
      <c r="F22" s="57"/>
      <c r="G22" s="48"/>
      <c r="H22" s="57"/>
      <c r="I22" s="57"/>
      <c r="J22" s="57"/>
      <c r="K22" s="57"/>
      <c r="L22" s="57"/>
      <c r="M22" s="54"/>
      <c r="N22" s="57"/>
      <c r="O22" s="57"/>
      <c r="P22" s="57"/>
      <c r="Q22" s="57"/>
      <c r="R22" s="57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</row>
    <row r="23">
      <c r="A23" s="48"/>
      <c r="B23" s="57"/>
      <c r="C23" s="57"/>
      <c r="D23" s="57"/>
      <c r="E23" s="57"/>
      <c r="F23" s="57"/>
      <c r="G23" s="48"/>
      <c r="H23" s="57"/>
      <c r="I23" s="57"/>
      <c r="J23" s="57"/>
      <c r="K23" s="57"/>
      <c r="L23" s="57"/>
      <c r="M23" s="54"/>
      <c r="N23" s="57"/>
      <c r="O23" s="57"/>
      <c r="P23" s="57"/>
      <c r="Q23" s="57"/>
      <c r="R23" s="57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</row>
    <row r="24">
      <c r="A24" s="48"/>
      <c r="B24" s="53"/>
      <c r="G24" s="48"/>
      <c r="H24" s="57"/>
      <c r="I24" s="57"/>
      <c r="J24" s="57"/>
      <c r="K24" s="57"/>
      <c r="L24" s="57"/>
      <c r="M24" s="54"/>
      <c r="N24" s="57"/>
      <c r="O24" s="57"/>
      <c r="P24" s="57"/>
      <c r="Q24" s="57"/>
      <c r="R24" s="57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</row>
    <row r="25">
      <c r="A25" s="48"/>
      <c r="G25" s="48"/>
      <c r="H25" s="53"/>
      <c r="M25" s="54"/>
      <c r="N25" s="53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</row>
    <row r="26">
      <c r="A26" s="48"/>
      <c r="B26" s="48"/>
      <c r="C26" s="48"/>
      <c r="D26" s="48"/>
      <c r="E26" s="48"/>
      <c r="F26" s="48"/>
      <c r="G26" s="58"/>
      <c r="H26" s="48"/>
      <c r="I26" s="48"/>
      <c r="J26" s="48"/>
      <c r="K26" s="48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</row>
    <row r="27">
      <c r="A27" s="48"/>
      <c r="B27" s="59" t="s">
        <v>78</v>
      </c>
      <c r="C27" s="60"/>
      <c r="D27" s="60"/>
      <c r="E27" s="60"/>
      <c r="F27" s="61"/>
      <c r="G27" s="48"/>
      <c r="H27" s="59" t="s">
        <v>79</v>
      </c>
      <c r="I27" s="60"/>
      <c r="J27" s="60"/>
      <c r="K27" s="60"/>
      <c r="L27" s="61"/>
      <c r="M27" s="54"/>
      <c r="N27" s="62" t="s">
        <v>80</v>
      </c>
      <c r="O27" s="60"/>
      <c r="P27" s="60"/>
      <c r="Q27" s="60"/>
      <c r="R27" s="61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</row>
    <row r="28">
      <c r="A28" s="48"/>
      <c r="B28" s="63"/>
      <c r="F28" s="64"/>
      <c r="G28" s="48"/>
      <c r="H28" s="63"/>
      <c r="L28" s="64"/>
      <c r="M28" s="54"/>
      <c r="N28" s="63"/>
      <c r="R28" s="6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</row>
    <row r="29">
      <c r="A29" s="48"/>
      <c r="B29" s="63"/>
      <c r="F29" s="64"/>
      <c r="G29" s="48"/>
      <c r="H29" s="63"/>
      <c r="L29" s="64"/>
      <c r="M29" s="54"/>
      <c r="N29" s="63"/>
      <c r="R29" s="6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</row>
    <row r="30">
      <c r="A30" s="48"/>
      <c r="B30" s="63"/>
      <c r="F30" s="64"/>
      <c r="G30" s="48"/>
      <c r="H30" s="63"/>
      <c r="L30" s="64"/>
      <c r="M30" s="54"/>
      <c r="N30" s="63"/>
      <c r="R30" s="6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</row>
    <row r="31">
      <c r="A31" s="48"/>
      <c r="B31" s="63"/>
      <c r="F31" s="64"/>
      <c r="G31" s="58"/>
      <c r="H31" s="63"/>
      <c r="L31" s="64"/>
      <c r="M31" s="54"/>
      <c r="N31" s="63"/>
      <c r="R31" s="6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</row>
    <row r="32">
      <c r="A32" s="48"/>
      <c r="B32" s="63"/>
      <c r="F32" s="64"/>
      <c r="G32" s="48"/>
      <c r="H32" s="63"/>
      <c r="L32" s="64"/>
      <c r="M32" s="54"/>
      <c r="N32" s="63"/>
      <c r="R32" s="6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</row>
    <row r="33">
      <c r="A33" s="48"/>
      <c r="B33" s="63"/>
      <c r="F33" s="64"/>
      <c r="G33" s="48"/>
      <c r="H33" s="63"/>
      <c r="L33" s="64"/>
      <c r="M33" s="54"/>
      <c r="N33" s="63"/>
      <c r="R33" s="6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</row>
    <row r="34">
      <c r="A34" s="48"/>
      <c r="B34" s="63"/>
      <c r="F34" s="64"/>
      <c r="G34" s="48"/>
      <c r="H34" s="63"/>
      <c r="L34" s="64"/>
      <c r="M34" s="54"/>
      <c r="N34" s="63"/>
      <c r="R34" s="6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</row>
    <row r="35" ht="18.0" customHeight="1">
      <c r="A35" s="48"/>
      <c r="B35" s="63"/>
      <c r="F35" s="64"/>
      <c r="G35" s="48"/>
      <c r="H35" s="63"/>
      <c r="L35" s="64"/>
      <c r="M35" s="54"/>
      <c r="N35" s="63"/>
      <c r="R35" s="6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</row>
    <row r="36" ht="29.25" customHeight="1">
      <c r="A36" s="48"/>
      <c r="B36" s="65"/>
      <c r="C36" s="66"/>
      <c r="D36" s="66"/>
      <c r="E36" s="66"/>
      <c r="F36" s="67"/>
      <c r="G36" s="48"/>
      <c r="H36" s="65"/>
      <c r="I36" s="66"/>
      <c r="J36" s="66"/>
      <c r="K36" s="66"/>
      <c r="L36" s="67"/>
      <c r="M36" s="54"/>
      <c r="N36" s="65"/>
      <c r="O36" s="66"/>
      <c r="P36" s="66"/>
      <c r="Q36" s="66"/>
      <c r="R36" s="67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</row>
    <row r="37">
      <c r="A37" s="48"/>
      <c r="B37" s="48"/>
      <c r="C37" s="48"/>
      <c r="D37" s="48"/>
      <c r="E37" s="48"/>
      <c r="F37" s="48"/>
      <c r="G37" s="58"/>
      <c r="H37" s="48"/>
      <c r="I37" s="54"/>
      <c r="J37" s="48"/>
      <c r="K37" s="48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</row>
    <row r="38">
      <c r="A38" s="48"/>
      <c r="B38" s="48"/>
      <c r="C38" s="48"/>
      <c r="D38" s="48"/>
      <c r="E38" s="48"/>
      <c r="F38" s="48"/>
      <c r="G38" s="48"/>
      <c r="H38" s="48"/>
      <c r="I38" s="54"/>
      <c r="J38" s="48"/>
      <c r="K38" s="48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</row>
    <row r="39">
      <c r="A39" s="48"/>
      <c r="B39" s="48"/>
      <c r="C39" s="48"/>
      <c r="D39" s="48"/>
      <c r="E39" s="48"/>
      <c r="F39" s="48"/>
      <c r="G39" s="58"/>
      <c r="H39" s="48"/>
      <c r="I39" s="54"/>
      <c r="J39" s="48"/>
      <c r="K39" s="48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</row>
    <row r="40">
      <c r="A40" s="48"/>
      <c r="B40" s="48"/>
      <c r="C40" s="48"/>
      <c r="D40" s="48"/>
      <c r="E40" s="48"/>
      <c r="F40" s="48"/>
      <c r="G40" s="48"/>
      <c r="H40" s="48"/>
      <c r="I40" s="54"/>
      <c r="J40" s="48"/>
      <c r="K40" s="48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</row>
    <row r="41">
      <c r="A41" s="48"/>
      <c r="B41" s="48"/>
      <c r="C41" s="48"/>
      <c r="D41" s="48"/>
      <c r="E41" s="48"/>
      <c r="F41" s="48"/>
      <c r="G41" s="58"/>
      <c r="H41" s="48"/>
      <c r="I41" s="54"/>
      <c r="J41" s="48"/>
      <c r="K41" s="48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</row>
    <row r="42">
      <c r="A42" s="48"/>
      <c r="B42" s="48"/>
      <c r="C42" s="48"/>
      <c r="D42" s="48"/>
      <c r="E42" s="48"/>
      <c r="F42" s="48"/>
      <c r="G42" s="48"/>
      <c r="H42" s="48"/>
      <c r="I42" s="54"/>
      <c r="J42" s="48"/>
      <c r="K42" s="48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</row>
    <row r="43">
      <c r="A43" s="48"/>
      <c r="B43" s="48"/>
      <c r="C43" s="48"/>
      <c r="D43" s="48"/>
      <c r="E43" s="48"/>
      <c r="F43" s="48"/>
      <c r="G43" s="58"/>
      <c r="H43" s="48"/>
      <c r="I43" s="54"/>
      <c r="J43" s="48"/>
      <c r="K43" s="48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</row>
    <row r="44">
      <c r="A44" s="48"/>
      <c r="B44" s="48"/>
      <c r="C44" s="48"/>
      <c r="D44" s="48"/>
      <c r="E44" s="48"/>
      <c r="F44" s="48"/>
      <c r="G44" s="48"/>
      <c r="H44" s="48"/>
      <c r="I44" s="54"/>
      <c r="J44" s="48"/>
      <c r="K44" s="48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</row>
    <row r="45">
      <c r="A45" s="48"/>
      <c r="B45" s="48"/>
      <c r="C45" s="48"/>
      <c r="D45" s="48"/>
      <c r="E45" s="48"/>
      <c r="F45" s="48"/>
      <c r="G45" s="48"/>
      <c r="H45" s="48"/>
      <c r="I45" s="54"/>
      <c r="J45" s="48"/>
      <c r="K45" s="48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</row>
    <row r="46">
      <c r="A46" s="48"/>
      <c r="B46" s="48"/>
      <c r="C46" s="48"/>
      <c r="D46" s="48"/>
      <c r="E46" s="48"/>
      <c r="F46" s="48"/>
      <c r="G46" s="48"/>
      <c r="H46" s="48"/>
      <c r="I46" s="54"/>
      <c r="J46" s="48"/>
      <c r="K46" s="48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</row>
    <row r="47">
      <c r="A47" s="48"/>
      <c r="B47" s="48"/>
      <c r="C47" s="48"/>
      <c r="D47" s="48"/>
      <c r="E47" s="48"/>
      <c r="F47" s="48"/>
      <c r="G47" s="48"/>
      <c r="H47" s="48"/>
      <c r="I47" s="54"/>
      <c r="J47" s="48"/>
      <c r="K47" s="48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</row>
    <row r="48">
      <c r="A48" s="48"/>
      <c r="B48" s="48"/>
      <c r="C48" s="48"/>
      <c r="D48" s="48"/>
      <c r="E48" s="48"/>
      <c r="F48" s="48"/>
      <c r="G48" s="48"/>
      <c r="H48" s="48"/>
      <c r="I48" s="54"/>
      <c r="J48" s="48"/>
      <c r="K48" s="48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</row>
    <row r="49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</row>
    <row r="50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</row>
    <row r="5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</row>
    <row r="52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</row>
    <row r="5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</row>
    <row r="54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</row>
    <row r="5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</row>
    <row r="56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</row>
    <row r="57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</row>
    <row r="58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</row>
    <row r="59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</row>
    <row r="6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</row>
    <row r="6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</row>
    <row r="6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</row>
    <row r="6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</row>
    <row r="64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</row>
    <row r="6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</row>
    <row r="66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</row>
    <row r="67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</row>
    <row r="68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</row>
    <row r="69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</row>
    <row r="7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</row>
    <row r="7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</row>
    <row r="7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</row>
    <row r="7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</row>
    <row r="74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</row>
    <row r="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</row>
    <row r="76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</row>
    <row r="77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</row>
    <row r="78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</row>
    <row r="79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</row>
    <row r="8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</row>
    <row r="8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</row>
    <row r="8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</row>
    <row r="8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</row>
    <row r="8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</row>
    <row r="8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</row>
    <row r="8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</row>
    <row r="87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</row>
    <row r="88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</row>
    <row r="8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</row>
    <row r="9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</row>
    <row r="9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</row>
    <row r="9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</row>
    <row r="9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</row>
    <row r="94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</row>
    <row r="9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</row>
    <row r="99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</row>
    <row r="10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</row>
    <row r="10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</row>
    <row r="10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</row>
    <row r="10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</row>
    <row r="104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</row>
    <row r="10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</row>
    <row r="106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</row>
    <row r="107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</row>
    <row r="108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</row>
    <row r="109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</row>
    <row r="11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</row>
    <row r="11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</row>
    <row r="11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</row>
    <row r="11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</row>
    <row r="11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</row>
    <row r="11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</row>
    <row r="11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</row>
    <row r="117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</row>
    <row r="12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</row>
    <row r="99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</row>
    <row r="994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</row>
    <row r="99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</row>
    <row r="996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  <c r="AC996" s="54"/>
    </row>
    <row r="997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</row>
    <row r="998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</row>
    <row r="999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</row>
    <row r="1000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</row>
    <row r="1001">
      <c r="A1001" s="48"/>
      <c r="B1001" s="48"/>
      <c r="C1001" s="48"/>
      <c r="D1001" s="48"/>
      <c r="E1001" s="48"/>
      <c r="F1001" s="48"/>
      <c r="G1001" s="48"/>
      <c r="H1001" s="48"/>
      <c r="I1001" s="48"/>
      <c r="J1001" s="48"/>
      <c r="K1001" s="48"/>
      <c r="L1001" s="54"/>
      <c r="M1001" s="54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</row>
    <row r="1002">
      <c r="A1002" s="48"/>
      <c r="B1002" s="48"/>
      <c r="C1002" s="48"/>
      <c r="D1002" s="48"/>
      <c r="E1002" s="48"/>
      <c r="F1002" s="48"/>
      <c r="G1002" s="48"/>
      <c r="H1002" s="48"/>
      <c r="I1002" s="48"/>
      <c r="J1002" s="48"/>
      <c r="K1002" s="48"/>
      <c r="L1002" s="54"/>
      <c r="M1002" s="54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</row>
    <row r="1003">
      <c r="A1003" s="48"/>
      <c r="B1003" s="48"/>
      <c r="C1003" s="48"/>
      <c r="D1003" s="48"/>
      <c r="E1003" s="48"/>
      <c r="F1003" s="48"/>
      <c r="G1003" s="48"/>
      <c r="H1003" s="48"/>
      <c r="I1003" s="48"/>
      <c r="J1003" s="48"/>
      <c r="K1003" s="48"/>
      <c r="L1003" s="54"/>
      <c r="M1003" s="54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</row>
    <row r="1004">
      <c r="A1004" s="48"/>
      <c r="B1004" s="48"/>
      <c r="C1004" s="48"/>
      <c r="D1004" s="48"/>
      <c r="E1004" s="48"/>
      <c r="F1004" s="48"/>
      <c r="G1004" s="48"/>
      <c r="H1004" s="48"/>
      <c r="I1004" s="48"/>
      <c r="J1004" s="48"/>
      <c r="K1004" s="48"/>
      <c r="L1004" s="54"/>
      <c r="M1004" s="54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  <c r="AC1004" s="54"/>
    </row>
    <row r="1005">
      <c r="A1005" s="48"/>
      <c r="B1005" s="48"/>
      <c r="C1005" s="48"/>
      <c r="D1005" s="48"/>
      <c r="E1005" s="48"/>
      <c r="F1005" s="48"/>
      <c r="G1005" s="48"/>
      <c r="H1005" s="48"/>
      <c r="I1005" s="48"/>
      <c r="J1005" s="48"/>
      <c r="K1005" s="48"/>
      <c r="L1005" s="54"/>
      <c r="M1005" s="54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  <c r="AA1005" s="54"/>
      <c r="AB1005" s="54"/>
      <c r="AC1005" s="54"/>
    </row>
    <row r="1006">
      <c r="A1006" s="48"/>
      <c r="B1006" s="48"/>
      <c r="C1006" s="48"/>
      <c r="D1006" s="48"/>
      <c r="E1006" s="48"/>
      <c r="F1006" s="48"/>
      <c r="G1006" s="48"/>
      <c r="H1006" s="48"/>
      <c r="I1006" s="48"/>
      <c r="J1006" s="48"/>
      <c r="K1006" s="48"/>
      <c r="L1006" s="54"/>
      <c r="M1006" s="54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</row>
    <row r="1007">
      <c r="A1007" s="48"/>
      <c r="B1007" s="48"/>
      <c r="C1007" s="48"/>
      <c r="D1007" s="48"/>
      <c r="E1007" s="48"/>
      <c r="F1007" s="48"/>
      <c r="G1007" s="48"/>
      <c r="H1007" s="48"/>
      <c r="I1007" s="48"/>
      <c r="J1007" s="48"/>
      <c r="K1007" s="48"/>
      <c r="L1007" s="54"/>
      <c r="M1007" s="54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  <c r="AC1007" s="54"/>
    </row>
  </sheetData>
  <mergeCells count="15">
    <mergeCell ref="P5:Q5"/>
    <mergeCell ref="P6:Q8"/>
    <mergeCell ref="B24:F25"/>
    <mergeCell ref="H25:L25"/>
    <mergeCell ref="N25:R25"/>
    <mergeCell ref="B27:F36"/>
    <mergeCell ref="H27:L36"/>
    <mergeCell ref="N27:R36"/>
    <mergeCell ref="A1:AC3"/>
    <mergeCell ref="D5:E5"/>
    <mergeCell ref="H5:I5"/>
    <mergeCell ref="L5:M5"/>
    <mergeCell ref="D6:E8"/>
    <mergeCell ref="H6:I8"/>
    <mergeCell ref="L6:M8"/>
  </mergeCells>
  <drawing r:id="rId1"/>
</worksheet>
</file>